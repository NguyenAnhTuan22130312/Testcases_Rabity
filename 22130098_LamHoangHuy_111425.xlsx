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 Design" sheetId="3" r:id="rId6"/>
    <sheet state="hidden" name="Interface Design" sheetId="4" r:id="rId7"/>
    <sheet state="visible" name="Detail Function design_Module_R" sheetId="5" r:id="rId8"/>
    <sheet state="visible" name="Detail Function design_Module_A" sheetId="6" r:id="rId9"/>
    <sheet state="visible" name="Test report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<sst xmlns="http://schemas.openxmlformats.org/spreadsheetml/2006/main" count="382" uniqueCount="215">
  <si>
    <t>TEST CASE</t>
  </si>
  <si>
    <t>Project Name</t>
  </si>
  <si>
    <r>
      <rPr>
        <rFont val="Roboto"/>
        <i/>
        <color rgb="FF008000"/>
      </rPr>
      <t>Test Website Rabity Kids Fashion (</t>
    </r>
    <r>
      <rPr>
        <rFont val="Roboto"/>
        <i/>
        <color rgb="FF1155CC"/>
        <u/>
      </rPr>
      <t>https://rabity.vn/</t>
    </r>
    <r>
      <rPr>
        <rFont val="Roboto"/>
        <i/>
        <color rgb="FF008000"/>
      </rPr>
      <t>)</t>
    </r>
  </si>
  <si>
    <t>Creator</t>
  </si>
  <si>
    <t>Lâm Hoàng Huy</t>
  </si>
  <si>
    <t>Project Code</t>
  </si>
  <si>
    <t>TEST_RABITY</t>
  </si>
  <si>
    <t>Reviewer/Approver</t>
  </si>
  <si>
    <t>NHÓM TESTER</t>
  </si>
  <si>
    <t>Document Code</t>
  </si>
  <si>
    <t>TEST_TestCase_v1.0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</si>
  <si>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</si>
  <si>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</si>
  <si>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</si>
  <si>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</si>
  <si>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</si>
  <si>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</si>
  <si>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</si>
  <si>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</si>
  <si>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</si>
  <si>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 xml:space="preserve">Test Case
</t>
  </si>
  <si>
    <t>Module Test Case cho chức năng Đánh giá Sản phẩm &amp;&amp; Quản Lý Địa Chỉ</t>
  </si>
  <si>
    <t>TEST CASE LIST</t>
  </si>
  <si>
    <t>Test Website Rabity Kids Fashion (https://rabity.vn/)</t>
  </si>
  <si>
    <t>TEST</t>
  </si>
  <si>
    <t>Test Environment Setup Description</t>
  </si>
  <si>
    <t>1.Website: https://rabity.vn/
2.Trình duyệt: Chromium
3.Tài khoản Test: Tài khoản Smember/Guest đã đăng nhập.
4.Thiết bị: Máy tính (PC/Laptop)
5.Nền tảng (Nếu tự động): Playwright
6.Kết nối: Internet tốc độ ổn định.</t>
  </si>
  <si>
    <t>No</t>
  </si>
  <si>
    <t>Function Name</t>
  </si>
  <si>
    <t>Sheet Name</t>
  </si>
  <si>
    <t>Description</t>
  </si>
  <si>
    <t>Pre-Condition</t>
  </si>
  <si>
    <t>Đánh giá sản phẩm</t>
  </si>
  <si>
    <t>Detail Function design_Module_Review</t>
  </si>
  <si>
    <t>Gửi đánh giá sản phẩm và kiểm tra việc hiển thị.</t>
  </si>
  <si>
    <t>Người dùng đã đăng nhập thành công
 trên trang chi tiết sản phẩm.</t>
  </si>
  <si>
    <t>Quản Lý Địa Chỉ</t>
  </si>
  <si>
    <t>Detail Function design_Module_AddressBook</t>
  </si>
  <si>
    <t>Thêm, sửa, xóa nhiều địa chỉ giao hàng trong tài khoản.</t>
  </si>
  <si>
    <t>Người dùng đã đăng nhập thành công.</t>
  </si>
  <si>
    <t>Requirement Level 1</t>
  </si>
  <si>
    <t>Requirement Level 2</t>
  </si>
  <si>
    <t>Requirement Level 3</t>
  </si>
  <si>
    <t>Test Criteria</t>
  </si>
  <si>
    <t>Test Type</t>
  </si>
  <si>
    <t>Note</t>
  </si>
  <si>
    <t>Module_Review</t>
  </si>
  <si>
    <t>Mở Popup</t>
  </si>
  <si>
    <t>Thành công</t>
  </si>
  <si>
    <t>Mở popup sau khi chọn số sao (ổn định, không delay) .</t>
  </si>
  <si>
    <t>Integration/Flow</t>
  </si>
  <si>
    <t>Modal phải hiện lên ngay sau khi user chọn Rating.</t>
  </si>
  <si>
    <t>Đóng Popup</t>
  </si>
  <si>
    <t>Đóng popup bằng nút "X" hoặc "Hủy" .</t>
  </si>
  <si>
    <t>UI/UX</t>
  </si>
  <si>
    <t>Dữ liệu nhập phải bị mất khi đóng nếu chưa gửi.</t>
  </si>
  <si>
    <t>Gửi đánh giá</t>
  </si>
  <si>
    <t>Gửi đánh giá thành công với Rating + Comment bất kỳ (không cần ảnh).</t>
  </si>
  <si>
    <t>Positive Case/E2E</t>
  </si>
  <si>
    <t>Gửi đánh giá thành công với Rating + Comment và Ảnh hợp lệ.</t>
  </si>
  <si>
    <t>Kiểm tra luồng điền đầy đủ tất cả các trường tùy chọn.</t>
  </si>
  <si>
    <t>Validation</t>
  </si>
  <si>
    <t>Thất bại (Negative)</t>
  </si>
  <si>
    <t>Không cho gửi khi trường Comment để trống .</t>
  </si>
  <si>
    <t>Negative Case</t>
  </si>
  <si>
    <t>Bắt buộc phải có nội dung đánh giá.</t>
  </si>
  <si>
    <t>Thất bại (Negative/Defect)</t>
  </si>
  <si>
    <t>Không cho gửi khi Comment quá ngắn (dưới X ký tự) .</t>
  </si>
  <si>
    <t>Negative Case/Defect</t>
  </si>
  <si>
    <t>(Hiện tại hệ thống đang Fail vì cho gửi 1 ký tự). Cần sửa lỗi.</t>
  </si>
  <si>
    <t>Thất bại (Negative/Blocking)</t>
  </si>
  <si>
    <t>Không cho gửi và không đứng web khi upload file không phải hình ảnh .</t>
  </si>
  <si>
    <t>Negative Case/Error</t>
  </si>
  <si>
    <t>Lỗi nghiêm trọng! Phải hiển thị lỗi và không được treo modal.</t>
  </si>
  <si>
    <t>Hoàn tất</t>
  </si>
  <si>
    <t>Đánh giá được gửi lên hệ thống và hiển thị trên trang sản phẩm.</t>
  </si>
  <si>
    <t>E2E Flow</t>
  </si>
  <si>
    <t>Xác nhận đánh giá xuất hiện trên trang.</t>
  </si>
  <si>
    <t>Module_AddressBook</t>
  </si>
  <si>
    <t>Thêm Địa Chỉ</t>
  </si>
  <si>
    <t>Thất bại (Blocking)</t>
  </si>
  <si>
    <t>Hệ thống không được cho phép tạo địa chỉ khi thiếu thông tin bắt buộc (SĐT, Địa chỉ 1, Tỉnh/TP) .</t>
  </si>
  <si>
    <t>Negative Case/Blocking</t>
  </si>
  <si>
    <t>Lỗi nghiêm trọng: Dữ liệu trống nhưng vẫn được lưu.</t>
  </si>
  <si>
    <t>Thêm địa chỉ mới thành công với đầy đủ thông tin hợp lệ .</t>
  </si>
  <si>
    <t>Hệ thống không được chấp nhận Ký tự đặc biệt trong trường Họ &amp; Tên .</t>
  </si>
  <si>
    <t>Phải giới hạn ký tự (chỉ chữ, số) cho Họ &amp; Tên.</t>
  </si>
  <si>
    <t>Flow/CRUD</t>
  </si>
  <si>
    <t>Chức năng Sửa (Edit) địa chỉ hoạt động chính xác (bao gồm cả địa chỉ thiếu thông tin) .</t>
  </si>
  <si>
    <t>E2E/Positive</t>
  </si>
  <si>
    <t>Đặt làm Địa chỉ Mặc định phải thông qua chức năng Sửa .</t>
  </si>
  <si>
    <t>Positive Case/Flow</t>
  </si>
  <si>
    <t>Xác nhận luồng nghiệp vụ.</t>
  </si>
  <si>
    <t>Chức năng Xóa (Delete) địa chỉ hoạt động chính xác .</t>
  </si>
  <si>
    <t>Địa chỉ mới được tạo phải hiển thị đầy đủ và đúng thông tin trong danh sách.</t>
  </si>
  <si>
    <t>Xác nhận dữ liệu được lưu đúng.</t>
  </si>
  <si>
    <t>Module Code</t>
  </si>
  <si>
    <t>Test requirement</t>
  </si>
  <si>
    <t>Kiểm tra chức năng đánh giá sản phẩm</t>
  </si>
  <si>
    <t>Tester</t>
  </si>
  <si>
    <t>Lam Hoang Huy</t>
  </si>
  <si>
    <t>Passed</t>
  </si>
  <si>
    <t>Failed</t>
  </si>
  <si>
    <t>Untested</t>
  </si>
  <si>
    <t>Blocked</t>
  </si>
  <si>
    <t>Skipped</t>
  </si>
  <si>
    <t>Number of Test cases</t>
  </si>
  <si>
    <t>ID</t>
  </si>
  <si>
    <t>Test Case Description</t>
  </si>
  <si>
    <t>Preconditions</t>
  </si>
  <si>
    <t>Test Case Procedure</t>
  </si>
  <si>
    <t>Expected Output</t>
  </si>
  <si>
    <t>Inter-test case Dependence</t>
  </si>
  <si>
    <t>Result</t>
  </si>
  <si>
    <t>Test date</t>
  </si>
  <si>
    <t>Priority</t>
  </si>
  <si>
    <t>Function: Đánh giá sản phẩm)</t>
  </si>
  <si>
    <t>Check layout screen - UX-UI</t>
  </si>
  <si>
    <t>[Module_Review_TC-REVIEW-001]</t>
  </si>
  <si>
    <t>Mở popup viết đánh giá sau khi chọn sao (ổn định</t>
  </si>
  <si>
    <t>Đã đăng nhập, trên trang SP.</t>
  </si>
  <si>
    <t>1. Chọn số sao (5 sao). 2. Chờ popup hiển thị.</t>
  </si>
  <si>
    <t>Popup đánh giá hiển thị với tiêu đề "Đánh giá &amp; nhận xét". Popup không bị treo hoặc delay quá 1s.</t>
  </si>
  <si>
    <t>Low</t>
  </si>
  <si>
    <t>Check modal button</t>
  </si>
  <si>
    <t>[Module_Review_TC-REVIEW-002]</t>
  </si>
  <si>
    <t>Không thể gửi đánh giá khi trường Comment bị để trống</t>
  </si>
  <si>
    <t>Đã đăng nhập, popup đã mở.</t>
  </si>
  <si>
    <t>1. Mở popup. 2. Để trống Comment. 3. Nhấn nút "Gửi đánh giá".</t>
  </si>
  <si>
    <t>Nút Gửi bị vô hiệu hóa hoặc Hiển thị lỗi "Vui lòng nhập nội dung".</t>
  </si>
  <si>
    <t>Medium</t>
  </si>
  <si>
    <t>[Module_Review_TC-REVIEW-003]</t>
  </si>
  <si>
    <t>Gửi đánh giá thành công (Comment hợp lệ, không cần ảnh)</t>
  </si>
  <si>
    <t>The card has been entered into the ATM, valid, and correct password</t>
  </si>
  <si>
    <t>Hiển thị thông báo “Cảm ơn bạn đã để lại đánh giá!”.</t>
  </si>
  <si>
    <t>[Module_Review_TC-REVIEW-004]</t>
  </si>
  <si>
    <t>Gửi đánh giá thành công với Comment chỉ 1 ký tự (Defect)</t>
  </si>
  <si>
    <t>1. Mở popup. 2. Nhập Comment hợp lệ. 3. Nhấn nút "Gửi đánh giá".</t>
  </si>
  <si>
    <t>Hiển thị lỗi "Vui lòng nhập thông tin" và không gửi được.</t>
  </si>
  <si>
    <t>Defect: Thiếu Validation</t>
  </si>
  <si>
    <t>[Module_Review_TC-REVIEW-005]</t>
  </si>
  <si>
    <t>Lỗi đứng web (Blocking) khi upload file không phải ảnh</t>
  </si>
  <si>
    <t>1. Mở popup. 2. Nhập Comment: "1" (1 ký tự). 3. Nhấn nút "Gửi đánh giá".</t>
  </si>
  <si>
    <t>Đã có sẵn thông báo "Hình ảnh đánh giá (định dạng .jpg, .jpeg, .png)
" nếu cố tình cho file k phải ảnh lên và ấn đánh giá thì nó sẽ web sẽ treo .</t>
  </si>
  <si>
    <t>High</t>
  </si>
  <si>
    <t>Blocking Bug: Web đơ</t>
  </si>
  <si>
    <t>[Module_Review_TC-REVIEW-006]</t>
  </si>
  <si>
    <t>Gửi đánh giá thành công (Đầy đủ Comment và Ảnh hợp lệ)</t>
  </si>
  <si>
    <t>1. Mở popup. 2. Nhập Comment hợp lệ. 3. Upload ảnh hợp lệ. 4. Nhấn nút "Gửi đánh giá".</t>
  </si>
  <si>
    <t>[Module_Review_TC-REVIEW-007]</t>
  </si>
  <si>
    <t>Đóng modal đánh giá khi click nút X hoặc Cancel (UI/UX)</t>
  </si>
  <si>
    <t>1. Mở popup. 2. Click nút "X" (hoặc "Hủy").</t>
  </si>
  <si>
    <t>Popup đóng lại hoàn toàn. Người dùng trở về trang chi tiết sản phẩm.</t>
  </si>
  <si>
    <t xml:space="preserve">Valid </t>
  </si>
  <si>
    <t>TC_DFD_REVIEW_1</t>
  </si>
  <si>
    <t>Mở popup viết đánh giá sau khi chọn sao (ổn định) Check UI</t>
  </si>
  <si>
    <t>Đã đăng nhập, vào trang SP.</t>
  </si>
  <si>
    <t>Popup đã mở.</t>
  </si>
  <si>
    <t>TC_DFD_REVIEW_2</t>
  </si>
  <si>
    <t>Đã đăng nhập vào trang sản phẩm, popup đã mở.</t>
  </si>
  <si>
    <t>TC_DFD_REVIEW_3</t>
  </si>
  <si>
    <t>1. Mở popup. 2. Chọn Rating 5 sao. 3. Nhập Comment hợp lệ. 4. Nhấn nút "Gửi đánh giá".</t>
  </si>
  <si>
    <t>TC_DFD_REVIEW_4</t>
  </si>
  <si>
    <t xml:space="preserve">Invalid </t>
  </si>
  <si>
    <t>Hiển thị lỗi "Nội dung quá ngắn" và không gửi được.</t>
  </si>
  <si>
    <t>TC_DFD_REVIEW_5</t>
  </si>
  <si>
    <t>1. Mở popup. 2. Nhập Comment hợp lệ. 3. Upload file không phải ảnh (ví dụ: test.pdf). 4. Nhấn nút "Gửi đánh giá".</t>
  </si>
  <si>
    <t>TC_DFD_REVIEW_6</t>
  </si>
  <si>
    <t>TC_DFD_REVIEW_7</t>
  </si>
  <si>
    <t xml:space="preserve">  Đóng modal đánh giá khi click nút X hoặc Cancel (UI/UX)  Check UI</t>
  </si>
  <si>
    <t>Kiểm tra chức năng sổ địa chỉ</t>
  </si>
  <si>
    <t>Function: Sổ địa chỉ</t>
  </si>
  <si>
    <t>TC_DFD_ADR_1</t>
  </si>
  <si>
    <t>Lỗi Blocking: Thêm địa chỉ thành công khi form bị bỏ trống.</t>
  </si>
  <si>
    <t>Đã đăng nhập ,vô chức năng sổ địa chỉ.</t>
  </si>
  <si>
    <t>1. Bỏ trống mọi field. 2. Nhấn "Thêm mới".</t>
  </si>
  <si>
    <t>Phải hiển thị lỗi và không được tạo địa chỉ.</t>
  </si>
  <si>
    <t>Defect: Vẫn tạo địa chỉ, thiếu thông tin quan trọng.</t>
  </si>
  <si>
    <t>TC_DFD_ADR_2</t>
  </si>
  <si>
    <t>Kiểm tra chức năng Sửa thông tin địa chỉ vừa tạo (từ TC_DFD_ADR_1).</t>
  </si>
  <si>
    <t>Địa chỉ thiếu thông tin đã được tạo.</t>
  </si>
  <si>
    <t>1. Nhấn Sửa. 2. Điền đầy đủ thông tin còn thiếu. 3. Nhấn "Cập nhật".</t>
  </si>
  <si>
    <t>Sửa thành công và lưu đầy đủ thông tin.</t>
  </si>
  <si>
    <t>TC_DFD_ADR_3</t>
  </si>
  <si>
    <t>Thêm địa chỉ mới thành công với đầy đủ thông tin (Positive Flow).</t>
  </si>
  <si>
    <t>Điền đầy đủ thông tin hợp lệ. Nhấn "Thêm mới".</t>
  </si>
  <si>
    <t>Địa chỉ mới được tạo và hiển thị trong danh sách.</t>
  </si>
  <si>
    <t>TC_DFD_ADR_4</t>
  </si>
  <si>
    <t>Đặt làm Địa chỉ Mặc định thông qua chức năng Sửa.</t>
  </si>
  <si>
    <t>Đã đăng nhập ,vô chức năng sổ địa chỉ có danh sách địa chỉ</t>
  </si>
  <si>
    <t>1. Nhấn Sửa. 2. Tick "Mặc định". 3. Nhấn "Cập nhật".</t>
  </si>
  <si>
    <t>Trạng thái "Mặc định" được gán chính xác.</t>
  </si>
  <si>
    <t>TC_DFD_ADR_5</t>
  </si>
  <si>
    <t>Xóa địa chỉ thành công.</t>
  </si>
  <si>
    <t>Đã đăng nhập ,vô chức năng sổ địa chỉ  có địa chỉ cần xóa.</t>
  </si>
  <si>
    <t>1. Nhấn nút Xóa địa chỉ. 2. Xác nhận xóa.</t>
  </si>
  <si>
    <t>Địa chỉ bị xóa khỏi danh sách.</t>
  </si>
  <si>
    <t>TC_DFD_ADR_6</t>
  </si>
  <si>
    <t>Defect: Kiểm tra chấp nhận Ký tự đặc biệt trong trường Họ &amp; Tên.</t>
  </si>
  <si>
    <t>1. Nhập Họ &amp; Tên bằng ký tự đặc biệt (ví dụ: !@#$). 2. Nhấn "Thêm mới".</t>
  </si>
  <si>
    <t>Phải hiển thị lỗi và không lưu ký tự đặc biệt.</t>
  </si>
  <si>
    <t>Defect: Hệ thống vẫn chấp nhận và lưu ký tự đặc biệt.</t>
  </si>
  <si>
    <t>TEST REPORT</t>
  </si>
  <si>
    <t>Test Website CellphoneS</t>
  </si>
  <si>
    <t>TEST_TestReport_v1.0</t>
  </si>
  <si>
    <t>Notes</t>
  </si>
  <si>
    <t>Test chức năng đánh giá sản phẩm (Module Review) và sổ địa chỉ (Module Address Book)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</si>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</sst>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\-mmm\-yy"/>
    <numFmt numFmtId="166" formatCode="yyyy-mm-dd"/>
  </numFmts>
  <fonts count="26">
    <font>
      <sz val="10.0"/>
      <color rgb="FF000000"/>
      <name val="Arial"/>
      <scheme val="minor"/>
    </font>
    <font>
      <sz val="11.0"/>
      <color theme="1"/>
      <name val="Roboto"/>
    </font>
    <font>
      <b/>
      <sz val="20.0"/>
      <color theme="1"/>
      <name val="Roboto"/>
    </font>
    <font/>
    <font>
      <b/>
      <color rgb="FF993300"/>
      <name val="Roboto"/>
    </font>
    <font>
      <i/>
      <u/>
      <color rgb="FF008000"/>
      <name val="Roboto"/>
    </font>
    <font>
      <color theme="1"/>
      <name val="Roboto"/>
    </font>
    <font>
      <i/>
      <color rgb="FF008000"/>
      <name val="Roboto"/>
    </font>
    <font>
      <b/>
      <sz val="11.0"/>
      <color rgb="FF993300"/>
      <name val="Roboto"/>
    </font>
    <font>
      <b/>
      <sz val="11.0"/>
      <color rgb="FFFFFFFF"/>
      <name val="Roboto"/>
    </font>
    <font>
      <i/>
      <sz val="11.0"/>
      <color rgb="FF008000"/>
      <name val="Roboto"/>
    </font>
    <font>
      <b/>
      <sz val="11.0"/>
      <color theme="1"/>
      <name val="Roboto"/>
    </font>
    <font>
      <sz val="11.0"/>
      <color rgb="FF008000"/>
      <name val="Roboto"/>
    </font>
    <font>
      <u/>
      <sz val="11.0"/>
      <color rgb="FF0000FF"/>
      <name val="Roboto"/>
    </font>
    <font>
      <b/>
      <sz val="11.0"/>
      <color rgb="FF1B1C1D"/>
      <name val="Roboto"/>
    </font>
    <font>
      <sz val="11.0"/>
      <color rgb="FF000000"/>
      <name val="Roboto"/>
    </font>
    <font>
      <sz val="11.0"/>
      <color rgb="FF1B1C1D"/>
      <name val="Roboto"/>
    </font>
    <font>
      <sz val="11.0"/>
      <color theme="1"/>
      <name val="MS PGothic"/>
    </font>
    <font>
      <b/>
      <color theme="1"/>
      <name val="Tahoma"/>
    </font>
    <font>
      <i/>
      <color rgb="FF008000"/>
      <name val="Tahoma"/>
    </font>
    <font>
      <color theme="1"/>
      <name val="Tahoma"/>
    </font>
    <font>
      <b/>
      <color rgb="FFFFFFFF"/>
      <name val="Roboto"/>
    </font>
    <font>
      <color theme="1"/>
      <name val="Arial"/>
    </font>
    <font>
      <sz val="11.0"/>
      <color theme="1"/>
      <name val="Arial"/>
    </font>
    <font>
      <sz val="11.0"/>
      <color rgb="FFFFFFFF"/>
      <name val="Roboto"/>
    </font>
    <font>
      <b/>
      <sz val="11.0"/>
      <color rgb="FF0000F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D99594"/>
        <bgColor rgb="FFD9959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</fills>
  <borders count="2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</border>
    <border>
      <left/>
      <top/>
      <bottom/>
    </border>
    <border>
      <right/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/>
      <top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Border="1" applyFill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1" fillId="2" fontId="1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2" fillId="0" fontId="5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2" fillId="0" fontId="7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6" fillId="2" fontId="4" numFmtId="0" xfId="0" applyBorder="1" applyFont="1"/>
    <xf borderId="7" fillId="0" fontId="7" numFmtId="0" xfId="0" applyBorder="1" applyFont="1"/>
    <xf borderId="8" fillId="0" fontId="3" numFmtId="0" xfId="0" applyBorder="1" applyFont="1"/>
    <xf borderId="9" fillId="0" fontId="3" numFmtId="0" xfId="0" applyBorder="1" applyFont="1"/>
    <xf borderId="4" fillId="0" fontId="7" numFmtId="164" xfId="0" applyAlignment="1" applyBorder="1" applyFont="1" applyNumberFormat="1">
      <alignment readingOrder="0" vertical="bottom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4" fillId="0" fontId="7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5" fillId="3" fontId="9" numFmtId="165" xfId="0" applyAlignment="1" applyBorder="1" applyFill="1" applyFont="1" applyNumberFormat="1">
      <alignment horizontal="center"/>
    </xf>
    <xf borderId="5" fillId="3" fontId="9" numFmtId="0" xfId="0" applyAlignment="1" applyBorder="1" applyFont="1">
      <alignment horizontal="center"/>
    </xf>
    <xf borderId="0" fillId="0" fontId="1" numFmtId="0" xfId="0" applyAlignment="1" applyFont="1">
      <alignment vertical="top"/>
    </xf>
    <xf borderId="5" fillId="0" fontId="10" numFmtId="166" xfId="0" applyAlignment="1" applyBorder="1" applyFont="1" applyNumberFormat="1">
      <alignment horizontal="center" readingOrder="0" shrinkToFit="0" vertical="top" wrapText="1"/>
    </xf>
    <xf borderId="5" fillId="0" fontId="1" numFmtId="49" xfId="0" applyAlignment="1" applyBorder="1" applyFont="1" applyNumberFormat="1">
      <alignment readingOrder="0" vertical="top"/>
    </xf>
    <xf borderId="5" fillId="0" fontId="1" numFmtId="0" xfId="0" applyAlignment="1" applyBorder="1" applyFont="1">
      <alignment readingOrder="0" vertical="top"/>
    </xf>
    <xf borderId="5" fillId="0" fontId="10" numFmtId="0" xfId="0" applyAlignment="1" applyBorder="1" applyFont="1">
      <alignment shrinkToFit="0" vertical="top" wrapText="1"/>
    </xf>
    <xf borderId="5" fillId="0" fontId="1" numFmtId="165" xfId="0" applyAlignment="1" applyBorder="1" applyFont="1" applyNumberFormat="1">
      <alignment vertical="top"/>
    </xf>
    <xf borderId="5" fillId="0" fontId="1" numFmtId="49" xfId="0" applyAlignment="1" applyBorder="1" applyFont="1" applyNumberFormat="1">
      <alignment vertical="top"/>
    </xf>
    <xf borderId="5" fillId="0" fontId="1" numFmtId="0" xfId="0" applyAlignment="1" applyBorder="1" applyFont="1">
      <alignment vertical="top"/>
    </xf>
    <xf borderId="1" fillId="2" fontId="1" numFmtId="1" xfId="0" applyAlignment="1" applyBorder="1" applyFont="1" applyNumberFormat="1">
      <alignment vertical="bottom"/>
    </xf>
    <xf borderId="1" fillId="2" fontId="11" numFmtId="0" xfId="0" applyAlignment="1" applyBorder="1" applyFont="1">
      <alignment vertical="bottom"/>
    </xf>
    <xf borderId="15" fillId="2" fontId="1" numFmtId="1" xfId="0" applyAlignment="1" applyBorder="1" applyFont="1" applyNumberForma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2" fillId="2" fontId="8" numFmtId="1" xfId="0" applyAlignment="1" applyBorder="1" applyFont="1" applyNumberFormat="1">
      <alignment vertical="bottom"/>
    </xf>
    <xf borderId="17" fillId="0" fontId="3" numFmtId="0" xfId="0" applyBorder="1" applyFont="1"/>
    <xf borderId="2" fillId="2" fontId="12" numFmtId="0" xfId="0" applyAlignment="1" applyBorder="1" applyFont="1">
      <alignment readingOrder="0" vertical="bottom"/>
    </xf>
    <xf borderId="18" fillId="2" fontId="1" numFmtId="0" xfId="0" applyAlignment="1" applyBorder="1" applyFont="1">
      <alignment vertical="bottom"/>
    </xf>
    <xf borderId="2" fillId="2" fontId="10" numFmtId="0" xfId="0" applyAlignment="1" applyBorder="1" applyFont="1">
      <alignment vertical="bottom"/>
    </xf>
    <xf borderId="2" fillId="2" fontId="8" numFmtId="1" xfId="0" applyAlignment="1" applyBorder="1" applyFont="1" applyNumberFormat="1">
      <alignment shrinkToFit="0" wrapText="1"/>
    </xf>
    <xf borderId="2" fillId="2" fontId="10" numFmtId="0" xfId="0" applyAlignment="1" applyBorder="1" applyFont="1">
      <alignment readingOrder="0" shrinkToFit="0" vertical="top" wrapText="1"/>
    </xf>
    <xf borderId="14" fillId="2" fontId="1" numFmtId="1" xfId="0" applyAlignment="1" applyBorder="1" applyFont="1" applyNumberFormat="1">
      <alignment vertical="bottom"/>
    </xf>
    <xf borderId="15" fillId="2" fontId="1" numFmtId="1" xfId="0" applyBorder="1" applyFont="1" applyNumberFormat="1"/>
    <xf borderId="15" fillId="2" fontId="1" numFmtId="0" xfId="0" applyBorder="1" applyFont="1"/>
    <xf borderId="5" fillId="4" fontId="9" numFmtId="1" xfId="0" applyAlignment="1" applyBorder="1" applyFill="1" applyFont="1" applyNumberFormat="1">
      <alignment horizontal="center"/>
    </xf>
    <xf borderId="5" fillId="4" fontId="9" numFmtId="0" xfId="0" applyAlignment="1" applyBorder="1" applyFont="1">
      <alignment horizontal="center"/>
    </xf>
    <xf borderId="5" fillId="2" fontId="1" numFmtId="1" xfId="0" applyAlignment="1" applyBorder="1" applyFont="1" applyNumberFormat="1">
      <alignment horizontal="center" readingOrder="0"/>
    </xf>
    <xf borderId="5" fillId="0" fontId="1" numFmtId="49" xfId="0" applyAlignment="1" applyBorder="1" applyFont="1" applyNumberFormat="1">
      <alignment horizontal="center" readingOrder="0" vertical="bottom"/>
    </xf>
    <xf borderId="5" fillId="0" fontId="13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readingOrder="0"/>
    </xf>
    <xf borderId="5" fillId="0" fontId="1" numFmtId="49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2" fontId="1" numFmtId="1" xfId="0" applyBorder="1" applyFont="1" applyNumberFormat="1"/>
    <xf borderId="5" fillId="0" fontId="1" numFmtId="49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5" fillId="2" fontId="1" numFmtId="0" xfId="0" applyBorder="1" applyFont="1"/>
    <xf borderId="5" fillId="2" fontId="1" numFmtId="49" xfId="0" applyBorder="1" applyFont="1" applyNumberFormat="1"/>
    <xf borderId="6" fillId="3" fontId="9" numFmtId="0" xfId="0" applyAlignment="1" applyBorder="1" applyFont="1">
      <alignment horizontal="center" shrinkToFit="0" wrapText="1"/>
    </xf>
    <xf borderId="5" fillId="3" fontId="9" numFmtId="0" xfId="0" applyAlignment="1" applyBorder="1" applyFont="1">
      <alignment horizontal="center" shrinkToFit="0" wrapText="1"/>
    </xf>
    <xf borderId="6" fillId="0" fontId="14" numFmtId="0" xfId="0" applyAlignment="1" applyBorder="1" applyFont="1">
      <alignment readingOrder="0"/>
    </xf>
    <xf borderId="5" fillId="0" fontId="15" numFmtId="0" xfId="0" applyBorder="1" applyFont="1"/>
    <xf borderId="5" fillId="0" fontId="15" numFmtId="0" xfId="0" applyAlignment="1" applyBorder="1" applyFont="1">
      <alignment readingOrder="0"/>
    </xf>
    <xf borderId="5" fillId="0" fontId="15" numFmtId="0" xfId="0" applyBorder="1" applyFont="1"/>
    <xf borderId="0" fillId="0" fontId="15" numFmtId="0" xfId="0" applyFont="1"/>
    <xf borderId="19" fillId="0" fontId="3" numFmtId="0" xfId="0" applyBorder="1" applyFont="1"/>
    <xf borderId="6" fillId="0" fontId="15" numFmtId="0" xfId="0" applyBorder="1" applyFont="1"/>
    <xf borderId="5" fillId="5" fontId="1" numFmtId="0" xfId="0" applyAlignment="1" applyBorder="1" applyFill="1" applyFont="1">
      <alignment readingOrder="0"/>
    </xf>
    <xf borderId="5" fillId="5" fontId="1" numFmtId="0" xfId="0" applyAlignment="1" applyBorder="1" applyFont="1">
      <alignment vertical="bottom"/>
    </xf>
    <xf borderId="5" fillId="5" fontId="1" numFmtId="0" xfId="0" applyAlignment="1" applyBorder="1" applyFont="1">
      <alignment vertical="top"/>
    </xf>
    <xf borderId="5" fillId="5" fontId="1" numFmtId="0" xfId="0" applyBorder="1" applyFont="1"/>
    <xf borderId="5" fillId="0" fontId="16" numFmtId="0" xfId="0" applyAlignment="1" applyBorder="1" applyFont="1">
      <alignment readingOrder="0"/>
    </xf>
    <xf borderId="5" fillId="0" fontId="14" numFmtId="0" xfId="0" applyAlignment="1" applyBorder="1" applyFont="1">
      <alignment readingOrder="0"/>
    </xf>
    <xf borderId="5" fillId="0" fontId="16" numFmtId="0" xfId="0" applyBorder="1" applyFont="1"/>
    <xf borderId="0" fillId="0" fontId="1" numFmtId="0" xfId="0" applyAlignment="1" applyFont="1">
      <alignment vertical="bottom"/>
    </xf>
    <xf borderId="1" fillId="2" fontId="17" numFmtId="0" xfId="0" applyAlignment="1" applyBorder="1" applyFont="1">
      <alignment vertical="bottom"/>
    </xf>
    <xf borderId="20" fillId="2" fontId="17" numFmtId="0" xfId="0" applyBorder="1" applyFont="1"/>
    <xf borderId="20" fillId="2" fontId="17" numFmtId="0" xfId="0" applyAlignment="1" applyBorder="1" applyFont="1">
      <alignment vertical="bottom"/>
    </xf>
    <xf borderId="21" fillId="2" fontId="18" numFmtId="0" xfId="0" applyAlignment="1" applyBorder="1" applyFont="1">
      <alignment shrinkToFit="0" wrapText="1"/>
    </xf>
    <xf borderId="2" fillId="2" fontId="19" numFmtId="0" xfId="0" applyAlignment="1" applyBorder="1" applyFont="1">
      <alignment readingOrder="0" shrinkToFit="0" wrapText="1"/>
    </xf>
    <xf borderId="22" fillId="2" fontId="18" numFmtId="0" xfId="0" applyAlignment="1" applyBorder="1" applyFont="1">
      <alignment shrinkToFit="0" wrapText="1"/>
    </xf>
    <xf borderId="22" fillId="2" fontId="18" numFmtId="0" xfId="0" applyAlignment="1" applyBorder="1" applyFont="1">
      <alignment horizontal="center"/>
    </xf>
    <xf borderId="5" fillId="2" fontId="18" numFmtId="0" xfId="0" applyAlignment="1" applyBorder="1" applyFont="1">
      <alignment horizontal="center" shrinkToFit="0" wrapText="1"/>
    </xf>
    <xf borderId="5" fillId="2" fontId="18" numFmtId="0" xfId="0" applyAlignment="1" applyBorder="1" applyFont="1">
      <alignment shrinkToFit="0" wrapText="1"/>
    </xf>
    <xf borderId="5" fillId="2" fontId="17" numFmtId="0" xfId="0" applyBorder="1" applyFont="1"/>
    <xf borderId="2" fillId="2" fontId="18" numFmtId="0" xfId="0" applyAlignment="1" applyBorder="1" applyFont="1">
      <alignment horizontal="center" shrinkToFit="0" wrapText="1"/>
    </xf>
    <xf borderId="23" fillId="2" fontId="20" numFmtId="0" xfId="0" applyAlignment="1" applyBorder="1" applyFont="1">
      <alignment horizontal="center"/>
    </xf>
    <xf borderId="5" fillId="2" fontId="20" numFmtId="0" xfId="0" applyAlignment="1" applyBorder="1" applyFont="1">
      <alignment horizontal="center"/>
    </xf>
    <xf borderId="5" fillId="2" fontId="20" numFmtId="0" xfId="0" applyAlignment="1" applyBorder="1" applyFont="1">
      <alignment horizontal="center" shrinkToFit="0" wrapText="1"/>
    </xf>
    <xf borderId="5" fillId="2" fontId="20" numFmtId="0" xfId="0" applyAlignment="1" applyBorder="1" applyFont="1">
      <alignment horizontal="right" shrinkToFit="0" wrapText="1"/>
    </xf>
    <xf borderId="2" fillId="2" fontId="20" numFmtId="0" xfId="0" applyAlignment="1" applyBorder="1" applyFont="1">
      <alignment horizontal="center" shrinkToFit="0" wrapText="1"/>
    </xf>
    <xf borderId="1" fillId="2" fontId="17" numFmtId="0" xfId="0" applyBorder="1" applyFont="1"/>
    <xf borderId="5" fillId="3" fontId="21" numFmtId="0" xfId="0" applyAlignment="1" applyBorder="1" applyFont="1">
      <alignment horizontal="center" shrinkToFit="0" wrapText="1"/>
    </xf>
    <xf borderId="24" fillId="3" fontId="21" numFmtId="0" xfId="0" applyAlignment="1" applyBorder="1" applyFont="1">
      <alignment horizontal="center" shrinkToFit="0" wrapText="1"/>
    </xf>
    <xf borderId="25" fillId="2" fontId="17" numFmtId="0" xfId="0" applyAlignment="1" applyBorder="1" applyFont="1">
      <alignment vertical="bottom"/>
    </xf>
    <xf borderId="25" fillId="0" fontId="1" numFmtId="0" xfId="0" applyBorder="1" applyFont="1"/>
    <xf borderId="25" fillId="6" fontId="1" numFmtId="0" xfId="0" applyAlignment="1" applyBorder="1" applyFill="1" applyFont="1">
      <alignment readingOrder="0" shrinkToFit="0" wrapText="1"/>
    </xf>
    <xf borderId="25" fillId="6" fontId="1" numFmtId="0" xfId="0" applyAlignment="1" applyBorder="1" applyFont="1">
      <alignment vertical="bottom"/>
    </xf>
    <xf borderId="25" fillId="6" fontId="1" numFmtId="0" xfId="0" applyAlignment="1" applyBorder="1" applyFont="1">
      <alignment readingOrder="0" vertical="top"/>
    </xf>
    <xf borderId="25" fillId="6" fontId="1" numFmtId="0" xfId="0" applyBorder="1" applyFont="1"/>
    <xf borderId="25" fillId="6" fontId="1" numFmtId="164" xfId="0" applyAlignment="1" applyBorder="1" applyFont="1" applyNumberFormat="1">
      <alignment vertical="bottom"/>
    </xf>
    <xf borderId="25" fillId="6" fontId="1" numFmtId="0" xfId="0" applyAlignment="1" applyBorder="1" applyFont="1">
      <alignment vertical="bottom"/>
    </xf>
    <xf borderId="25" fillId="0" fontId="17" numFmtId="0" xfId="0" applyAlignment="1" applyBorder="1" applyFont="1">
      <alignment vertical="bottom"/>
    </xf>
    <xf borderId="25" fillId="0" fontId="1" numFmtId="0" xfId="0" applyBorder="1" applyFont="1"/>
    <xf borderId="25" fillId="6" fontId="1" numFmtId="0" xfId="0" applyAlignment="1" applyBorder="1" applyFont="1">
      <alignment readingOrder="0"/>
    </xf>
    <xf borderId="25" fillId="6" fontId="1" numFmtId="0" xfId="0" applyAlignment="1" applyBorder="1" applyFont="1">
      <alignment vertical="top"/>
    </xf>
    <xf borderId="25" fillId="2" fontId="17" numFmtId="0" xfId="0" applyBorder="1" applyFont="1"/>
    <xf borderId="25" fillId="2" fontId="1" numFmtId="0" xfId="0" applyAlignment="1" applyBorder="1" applyFont="1">
      <alignment readingOrder="0"/>
    </xf>
    <xf borderId="0" fillId="0" fontId="22" numFmtId="0" xfId="0" applyAlignment="1" applyFont="1">
      <alignment vertical="bottom"/>
    </xf>
    <xf borderId="25" fillId="2" fontId="1" numFmtId="0" xfId="0" applyAlignment="1" applyBorder="1" applyFont="1">
      <alignment readingOrder="0" shrinkToFit="0" wrapText="1"/>
    </xf>
    <xf borderId="25" fillId="2" fontId="1" numFmtId="0" xfId="0" applyAlignment="1" applyBorder="1" applyFont="1">
      <alignment readingOrder="0" shrinkToFit="0" vertical="top" wrapText="1"/>
    </xf>
    <xf borderId="25" fillId="2" fontId="1" numFmtId="0" xfId="0" applyBorder="1" applyFont="1"/>
    <xf borderId="25" fillId="2" fontId="1" numFmtId="14" xfId="0" applyAlignment="1" applyBorder="1" applyFont="1" applyNumberFormat="1">
      <alignment readingOrder="0"/>
    </xf>
    <xf borderId="25" fillId="2" fontId="1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25" fillId="2" fontId="1" numFmtId="0" xfId="0" applyAlignment="1" applyBorder="1" applyFont="1">
      <alignment shrinkToFit="0" wrapText="1"/>
    </xf>
    <xf borderId="25" fillId="2" fontId="1" numFmtId="0" xfId="0" applyAlignment="1" applyBorder="1" applyFont="1">
      <alignment readingOrder="0" shrinkToFit="0" vertical="bottom" wrapText="1"/>
    </xf>
    <xf borderId="25" fillId="2" fontId="1" numFmtId="0" xfId="0" applyAlignment="1" applyBorder="1" applyFont="1">
      <alignment readingOrder="0" vertical="bottom"/>
    </xf>
    <xf borderId="0" fillId="0" fontId="17" numFmtId="0" xfId="0" applyAlignment="1" applyFont="1">
      <alignment vertical="bottom"/>
    </xf>
    <xf borderId="20" fillId="2" fontId="1" numFmtId="0" xfId="0" applyBorder="1" applyFont="1"/>
    <xf borderId="20" fillId="2" fontId="1" numFmtId="0" xfId="0" applyAlignment="1" applyBorder="1" applyFont="1">
      <alignment vertical="bottom"/>
    </xf>
    <xf borderId="21" fillId="2" fontId="11" numFmtId="0" xfId="0" applyAlignment="1" applyBorder="1" applyFont="1">
      <alignment shrinkToFit="0" wrapText="1"/>
    </xf>
    <xf borderId="2" fillId="2" fontId="10" numFmtId="0" xfId="0" applyAlignment="1" applyBorder="1" applyFont="1">
      <alignment readingOrder="0" shrinkToFit="0" wrapText="1"/>
    </xf>
    <xf borderId="22" fillId="2" fontId="11" numFmtId="0" xfId="0" applyAlignment="1" applyBorder="1" applyFont="1">
      <alignment shrinkToFit="0" wrapText="1"/>
    </xf>
    <xf borderId="22" fillId="2" fontId="11" numFmtId="0" xfId="0" applyAlignment="1" applyBorder="1" applyFont="1">
      <alignment horizontal="center"/>
    </xf>
    <xf borderId="5" fillId="2" fontId="11" numFmtId="0" xfId="0" applyAlignment="1" applyBorder="1" applyFont="1">
      <alignment horizontal="center" shrinkToFit="0" wrapText="1"/>
    </xf>
    <xf borderId="5" fillId="2" fontId="11" numFmtId="0" xfId="0" applyAlignment="1" applyBorder="1" applyFont="1">
      <alignment horizontal="center"/>
    </xf>
    <xf borderId="5" fillId="2" fontId="11" numFmtId="0" xfId="0" applyAlignment="1" applyBorder="1" applyFont="1">
      <alignment shrinkToFit="0" wrapText="1"/>
    </xf>
    <xf borderId="2" fillId="2" fontId="11" numFmtId="0" xfId="0" applyAlignment="1" applyBorder="1" applyFont="1">
      <alignment horizontal="center" shrinkToFit="0" wrapText="1"/>
    </xf>
    <xf borderId="23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 shrinkToFit="0" wrapText="1"/>
    </xf>
    <xf borderId="5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right" shrinkToFit="0" wrapText="1"/>
    </xf>
    <xf borderId="2" fillId="2" fontId="1" numFmtId="0" xfId="0" applyAlignment="1" applyBorder="1" applyFont="1">
      <alignment horizontal="center" readingOrder="0" shrinkToFit="0" wrapText="1"/>
    </xf>
    <xf borderId="26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2" fillId="7" fontId="11" numFmtId="0" xfId="0" applyAlignment="1" applyBorder="1" applyFill="1" applyFont="1">
      <alignment readingOrder="0"/>
    </xf>
    <xf borderId="2" fillId="6" fontId="1" numFmtId="0" xfId="0" applyAlignment="1" applyBorder="1" applyFont="1">
      <alignment readingOrder="0"/>
    </xf>
    <xf borderId="10" fillId="0" fontId="1" numFmtId="0" xfId="0" applyBorder="1" applyFont="1"/>
    <xf borderId="0" fillId="2" fontId="1" numFmtId="0" xfId="0" applyFont="1"/>
    <xf borderId="5" fillId="0" fontId="23" numFmtId="0" xfId="0" applyAlignment="1" applyBorder="1" applyFont="1">
      <alignment vertical="bottom"/>
    </xf>
    <xf borderId="5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 shrinkToFit="0" wrapText="1"/>
    </xf>
    <xf borderId="5" fillId="2" fontId="1" numFmtId="0" xfId="0" applyAlignment="1" applyBorder="1" applyFont="1">
      <alignment readingOrder="0" shrinkToFit="0" vertical="top" wrapText="1"/>
    </xf>
    <xf borderId="5" fillId="2" fontId="1" numFmtId="14" xfId="0" applyAlignment="1" applyBorder="1" applyFont="1" applyNumberFormat="1">
      <alignment readingOrder="0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 shrinkToFit="0" vertical="bottom" wrapText="1"/>
    </xf>
    <xf borderId="5" fillId="2" fontId="1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16" fillId="2" fontId="11" numFmtId="0" xfId="0" applyAlignment="1" applyBorder="1" applyFont="1">
      <alignment horizontal="center" vertical="bottom"/>
    </xf>
    <xf borderId="27" fillId="0" fontId="3" numFmtId="0" xfId="0" applyBorder="1" applyFont="1"/>
    <xf borderId="18" fillId="0" fontId="3" numFmtId="0" xfId="0" applyBorder="1" applyFont="1"/>
    <xf borderId="1" fillId="2" fontId="1" numFmtId="165" xfId="0" applyAlignment="1" applyBorder="1" applyFont="1" applyNumberFormat="1">
      <alignment vertical="bottom"/>
    </xf>
    <xf borderId="5" fillId="2" fontId="8" numFmtId="0" xfId="0" applyBorder="1" applyFont="1"/>
    <xf borderId="2" fillId="2" fontId="8" numFmtId="0" xfId="0" applyAlignment="1" applyBorder="1" applyFont="1">
      <alignment vertical="bottom"/>
    </xf>
    <xf borderId="28" fillId="2" fontId="1" numFmtId="0" xfId="0" applyAlignment="1" applyBorder="1" applyFont="1">
      <alignment vertical="bottom"/>
    </xf>
    <xf borderId="28" fillId="2" fontId="1" numFmtId="0" xfId="0" applyAlignment="1" applyBorder="1" applyFont="1">
      <alignment vertical="top"/>
    </xf>
    <xf borderId="28" fillId="2" fontId="1" numFmtId="14" xfId="0" applyAlignment="1" applyBorder="1" applyFont="1" applyNumberFormat="1">
      <alignment vertical="bottom"/>
    </xf>
    <xf borderId="28" fillId="2" fontId="10" numFmtId="164" xfId="0" applyAlignment="1" applyBorder="1" applyFont="1" applyNumberFormat="1">
      <alignment readingOrder="0" vertical="top"/>
    </xf>
    <xf borderId="2" fillId="2" fontId="10" numFmtId="0" xfId="0" applyAlignment="1" applyBorder="1" applyFont="1">
      <alignment readingOrder="0" vertical="top"/>
    </xf>
    <xf borderId="14" fillId="2" fontId="1" numFmtId="165" xfId="0" applyAlignment="1" applyBorder="1" applyFont="1" applyNumberFormat="1">
      <alignment vertical="bottom"/>
    </xf>
    <xf borderId="15" fillId="2" fontId="1" numFmtId="165" xfId="0" applyAlignment="1" applyBorder="1" applyFont="1" applyNumberFormat="1">
      <alignment vertical="bottom"/>
    </xf>
    <xf borderId="5" fillId="3" fontId="9" numFmtId="0" xfId="0" applyAlignment="1" applyBorder="1" applyFont="1">
      <alignment horizontal="center" vertical="bottom"/>
    </xf>
    <xf borderId="5" fillId="3" fontId="9" numFmtId="0" xfId="0" applyAlignment="1" applyBorder="1" applyFont="1">
      <alignment horizontal="center" shrinkToFit="0" vertical="bottom" wrapText="1"/>
    </xf>
    <xf borderId="5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readingOrder="0" vertical="bottom"/>
    </xf>
    <xf borderId="5" fillId="3" fontId="1" numFmtId="0" xfId="0" applyAlignment="1" applyBorder="1" applyFont="1">
      <alignment vertical="bottom"/>
    </xf>
    <xf borderId="5" fillId="3" fontId="9" numFmtId="0" xfId="0" applyAlignment="1" applyBorder="1" applyFont="1">
      <alignment vertical="bottom"/>
    </xf>
    <xf borderId="5" fillId="3" fontId="24" numFmtId="0" xfId="0" applyAlignment="1" applyBorder="1" applyFont="1">
      <alignment horizontal="center" vertical="bottom"/>
    </xf>
    <xf borderId="5" fillId="3" fontId="24" numFmtId="165" xfId="0" applyAlignment="1" applyBorder="1" applyFont="1" applyNumberFormat="1">
      <alignment horizontal="center" readingOrder="0" vertical="bottom"/>
    </xf>
    <xf borderId="14" fillId="2" fontId="1" numFmtId="10" xfId="0" applyAlignment="1" applyBorder="1" applyFont="1" applyNumberFormat="1">
      <alignment vertical="bottom"/>
    </xf>
    <xf borderId="14" fillId="2" fontId="1" numFmtId="9" xfId="0" applyAlignment="1" applyBorder="1" applyFont="1" applyNumberFormat="1">
      <alignment vertical="bottom"/>
    </xf>
    <xf borderId="1" fillId="2" fontId="8" numFmtId="0" xfId="0" applyAlignment="1" applyBorder="1" applyFont="1">
      <alignment vertical="bottom"/>
    </xf>
    <xf borderId="1" fillId="2" fontId="25" numFmtId="9" xfId="0" applyAlignment="1" applyBorder="1" applyFont="1" applyNumberFormat="1">
      <alignment horizontal="right" readingOrder="0" shrinkToFit="0" vertical="bottom" wrapText="1"/>
    </xf>
    <xf borderId="1" fillId="2" fontId="25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abity.vn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4" max="4" width="31.13"/>
    <col customWidth="1" min="6" max="6" width="63.13"/>
    <col customWidth="1" min="7" max="7" width="1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/>
      <c r="B3" s="7"/>
      <c r="C3" s="1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9" t="s">
        <v>2</v>
      </c>
      <c r="D4" s="4"/>
      <c r="E4" s="5"/>
      <c r="F4" s="8" t="s">
        <v>3</v>
      </c>
      <c r="G4" s="10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5</v>
      </c>
      <c r="C5" s="11" t="s">
        <v>6</v>
      </c>
      <c r="D5" s="4"/>
      <c r="E5" s="5"/>
      <c r="F5" s="8" t="s">
        <v>7</v>
      </c>
      <c r="G5" s="12" t="s">
        <v>8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9</v>
      </c>
      <c r="C6" s="14" t="s">
        <v>10</v>
      </c>
      <c r="D6" s="15"/>
      <c r="E6" s="16"/>
      <c r="F6" s="8" t="s">
        <v>11</v>
      </c>
      <c r="G6" s="17">
        <v>45975.0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8"/>
      <c r="C7" s="19"/>
      <c r="D7" s="20"/>
      <c r="E7" s="21"/>
      <c r="F7" s="8" t="s">
        <v>12</v>
      </c>
      <c r="G7" s="22" t="s">
        <v>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3"/>
      <c r="C8" s="1"/>
      <c r="D8" s="1"/>
      <c r="E8" s="1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4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B11" s="25" t="s">
        <v>15</v>
      </c>
      <c r="C11" s="26" t="s">
        <v>12</v>
      </c>
      <c r="D11" s="26" t="s">
        <v>16</v>
      </c>
      <c r="E11" s="26" t="s">
        <v>17</v>
      </c>
      <c r="F11" s="26" t="s">
        <v>18</v>
      </c>
      <c r="G11" s="26" t="s">
        <v>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7"/>
      <c r="B12" s="28">
        <v>45975.0</v>
      </c>
      <c r="C12" s="29" t="s">
        <v>13</v>
      </c>
      <c r="D12" s="30" t="s">
        <v>20</v>
      </c>
      <c r="E12" s="30"/>
      <c r="F12" s="30" t="s">
        <v>21</v>
      </c>
      <c r="G12" s="31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32"/>
      <c r="C13" s="33"/>
      <c r="D13" s="34"/>
      <c r="E13" s="34"/>
      <c r="F13" s="34"/>
      <c r="G13" s="34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32"/>
      <c r="C14" s="33"/>
      <c r="D14" s="34"/>
      <c r="E14" s="34"/>
      <c r="F14" s="34"/>
      <c r="G14" s="34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32"/>
      <c r="C15" s="33"/>
      <c r="D15" s="34"/>
      <c r="E15" s="34"/>
      <c r="F15" s="34"/>
      <c r="G15" s="34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32"/>
      <c r="C16" s="33"/>
      <c r="D16" s="34"/>
      <c r="E16" s="34"/>
      <c r="F16" s="34"/>
      <c r="G16" s="34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32"/>
      <c r="C17" s="33"/>
      <c r="D17" s="34"/>
      <c r="E17" s="34"/>
      <c r="F17" s="34"/>
      <c r="G17" s="34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32"/>
      <c r="C18" s="33"/>
      <c r="D18" s="34"/>
      <c r="E18" s="34"/>
      <c r="F18" s="34"/>
      <c r="G18" s="34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21.38"/>
    <col customWidth="1" min="4" max="4" width="39.25"/>
    <col customWidth="1" min="5" max="5" width="49.38"/>
    <col customWidth="1" min="6" max="6" width="38.75"/>
  </cols>
  <sheetData>
    <row r="1">
      <c r="A1" s="7"/>
      <c r="B1" s="35"/>
      <c r="C1" s="7"/>
      <c r="D1" s="36" t="s">
        <v>22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37"/>
      <c r="C2" s="38"/>
      <c r="D2" s="38"/>
      <c r="E2" s="38"/>
      <c r="F2" s="38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9"/>
      <c r="B3" s="40" t="s">
        <v>1</v>
      </c>
      <c r="C3" s="41"/>
      <c r="D3" s="42" t="s">
        <v>23</v>
      </c>
      <c r="E3" s="4"/>
      <c r="F3" s="5"/>
      <c r="G3" s="4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9"/>
      <c r="B4" s="40" t="s">
        <v>5</v>
      </c>
      <c r="C4" s="41"/>
      <c r="D4" s="44" t="s">
        <v>24</v>
      </c>
      <c r="E4" s="4"/>
      <c r="F4" s="5"/>
      <c r="G4" s="43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9"/>
      <c r="B5" s="45" t="s">
        <v>25</v>
      </c>
      <c r="C5" s="5"/>
      <c r="D5" s="46" t="s">
        <v>26</v>
      </c>
      <c r="E5" s="4"/>
      <c r="F5" s="5"/>
      <c r="G5" s="4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47"/>
      <c r="C6" s="23"/>
      <c r="D6" s="23"/>
      <c r="E6" s="23"/>
      <c r="F6" s="2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/>
      <c r="B7" s="48"/>
      <c r="C7" s="49"/>
      <c r="D7" s="49"/>
      <c r="E7" s="49"/>
      <c r="F7" s="4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9"/>
      <c r="B8" s="50" t="s">
        <v>27</v>
      </c>
      <c r="C8" s="51" t="s">
        <v>28</v>
      </c>
      <c r="D8" s="51" t="s">
        <v>29</v>
      </c>
      <c r="E8" s="51" t="s">
        <v>30</v>
      </c>
      <c r="F8" s="51" t="s">
        <v>31</v>
      </c>
      <c r="G8" s="4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9"/>
      <c r="B9" s="52">
        <v>1.0</v>
      </c>
      <c r="C9" s="53" t="s">
        <v>32</v>
      </c>
      <c r="D9" s="54" t="s">
        <v>33</v>
      </c>
      <c r="E9" s="55" t="s">
        <v>34</v>
      </c>
      <c r="F9" s="56" t="s">
        <v>35</v>
      </c>
      <c r="G9" s="4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9"/>
      <c r="B10" s="52">
        <v>2.0</v>
      </c>
      <c r="C10" s="53" t="s">
        <v>36</v>
      </c>
      <c r="D10" s="54" t="s">
        <v>37</v>
      </c>
      <c r="E10" s="55" t="s">
        <v>38</v>
      </c>
      <c r="F10" s="56" t="s">
        <v>39</v>
      </c>
      <c r="G10" s="4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9"/>
      <c r="B11" s="52"/>
      <c r="C11" s="57"/>
      <c r="D11" s="58"/>
      <c r="E11" s="58"/>
      <c r="F11" s="56"/>
      <c r="G11" s="4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9"/>
      <c r="B12" s="52"/>
      <c r="C12" s="57"/>
      <c r="D12" s="58"/>
      <c r="E12" s="58"/>
      <c r="F12" s="56"/>
      <c r="G12" s="43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9"/>
      <c r="B13" s="52"/>
      <c r="C13" s="57"/>
      <c r="D13" s="59"/>
      <c r="E13" s="58"/>
      <c r="F13" s="56"/>
      <c r="G13" s="43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9"/>
      <c r="B14" s="52"/>
      <c r="C14" s="57"/>
      <c r="D14" s="58"/>
      <c r="E14" s="58"/>
      <c r="F14" s="56"/>
      <c r="G14" s="43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9"/>
      <c r="B15" s="52"/>
      <c r="C15" s="57"/>
      <c r="D15" s="58"/>
      <c r="E15" s="58"/>
      <c r="F15" s="56"/>
      <c r="G15" s="43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9"/>
      <c r="B16" s="60"/>
      <c r="C16" s="61"/>
      <c r="D16" s="62"/>
      <c r="E16" s="62"/>
      <c r="F16" s="63"/>
      <c r="G16" s="4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9"/>
      <c r="B17" s="60"/>
      <c r="C17" s="64"/>
      <c r="D17" s="63"/>
      <c r="E17" s="63"/>
      <c r="F17" s="63"/>
      <c r="G17" s="4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9"/>
      <c r="B18" s="60"/>
      <c r="C18" s="64"/>
      <c r="D18" s="63"/>
      <c r="E18" s="63"/>
      <c r="F18" s="63"/>
      <c r="G18" s="43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47"/>
      <c r="C19" s="23"/>
      <c r="D19" s="23"/>
      <c r="E19" s="23"/>
      <c r="F19" s="2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3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3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3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3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3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3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3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3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3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3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3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3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3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3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3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3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3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3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3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3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3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3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3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3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3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3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3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35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3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35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35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35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35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35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35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35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35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35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35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35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35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35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35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35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35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35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3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35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35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35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35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35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35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35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35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35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35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35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35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35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3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35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35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35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35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35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35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35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35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35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35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35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35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35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35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35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35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35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35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35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35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35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35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35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35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35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35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35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35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35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35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35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35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35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35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35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35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35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35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35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35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35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35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35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35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35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35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35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35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35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35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35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35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35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35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35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35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35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35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35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35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35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35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35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35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35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35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35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35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35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35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35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35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35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35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35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35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35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35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35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35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35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35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35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35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35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35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35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35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35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35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35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35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35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35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35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35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35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35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35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35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35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35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35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35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35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35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35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35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35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35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35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35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35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35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35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35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35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35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35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35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35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35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35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35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35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35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35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35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35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35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35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35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35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35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35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35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35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35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35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35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35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35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35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35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35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35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35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35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35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35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35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35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35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35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35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35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35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35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35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35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35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35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35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35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35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35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35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35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35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35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35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35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35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35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35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35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35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35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35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35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35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35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35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35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35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35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35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35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35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35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35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35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35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35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35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35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35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35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35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35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35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35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35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35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35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35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35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35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35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35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35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35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35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35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35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35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35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35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35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35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35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35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35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35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35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35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35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35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35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35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35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35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35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35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35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35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35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35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35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35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35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35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35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35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35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35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35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35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35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35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35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35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35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35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35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35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35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35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35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35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35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35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35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35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35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35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35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35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35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35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35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35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35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35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35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35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35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35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35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35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35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35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35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35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35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35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35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35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35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35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35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35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35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35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35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35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35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35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35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35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35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35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35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35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35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35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35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35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35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35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35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35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35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35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35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35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35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35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35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35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35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35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35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35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35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35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35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35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35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35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35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35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35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35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35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35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35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35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35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35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35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35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35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35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35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35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35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35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35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35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35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35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35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35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35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35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35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35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35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35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35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35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35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35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35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35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35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35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35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35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35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35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35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35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35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35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35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35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35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3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35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35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35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35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35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35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35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35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35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35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35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35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35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35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35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35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35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35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35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35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35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35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35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35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35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35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35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35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35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35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35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35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35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35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35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35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35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35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35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35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35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35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35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35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35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35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35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35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35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35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35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35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35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35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35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35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35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35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35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35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35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35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35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35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35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35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35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35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35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35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35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35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35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35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35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35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35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35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35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35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35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35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35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35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35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35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35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35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35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35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35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35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35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35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35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35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35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35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35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35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35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35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35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35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35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35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35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35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35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35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35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35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35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35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35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35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35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35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35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35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35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35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35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35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35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35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35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35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35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35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35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35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35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35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35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35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35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35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35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35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35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35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35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35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35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35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35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35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35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35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35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35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35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35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35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35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35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35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35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35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35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35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35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35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35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35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35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35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35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35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35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35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35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35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35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35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35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35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35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35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35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35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35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35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35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35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35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35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35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35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35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35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35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35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35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35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35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35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35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35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35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35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35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35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35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35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35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35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35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35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35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35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35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35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35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35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35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35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35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35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35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35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35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35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35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35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35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35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35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35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35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35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35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35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35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35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35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35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35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35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35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35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35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35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35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35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35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35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35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35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35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35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35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35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35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35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35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35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35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35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35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35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35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35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35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35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35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35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35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35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35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35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35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35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35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35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35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35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35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35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35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35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35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35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35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35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35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35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35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35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35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35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35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35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35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35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35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35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35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35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35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35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35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35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35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35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35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35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35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35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35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35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35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35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35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35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35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35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35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35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35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35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35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35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35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35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35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35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35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35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35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35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35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35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35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35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35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35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35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35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35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35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35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35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35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35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35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35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35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35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35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35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35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35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35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35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35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35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35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35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35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35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35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35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35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35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35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35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35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35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35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35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35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35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35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35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35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35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35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35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35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35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35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35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35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35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35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35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35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35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35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35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35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35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35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35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35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35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35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35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35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35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35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35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35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35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35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35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35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35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35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35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35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35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35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35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35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35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35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35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35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35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35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35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35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35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35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35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35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35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35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35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35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35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35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35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35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35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35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35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35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35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35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35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35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35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35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35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35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35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35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35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35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35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35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35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35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35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35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35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35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35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35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35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35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35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35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35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35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35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35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35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35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35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35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35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35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35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35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35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35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35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35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35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35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35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35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35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35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35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35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35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35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35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35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35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35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35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35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35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35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35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35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35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35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35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35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35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35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35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35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35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35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35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35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35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35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35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35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35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35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35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35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35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35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35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35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35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35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35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35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35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35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35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35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35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35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35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35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35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Detail Function design_Module_Review" location="'Detail Function design_Module_R'!A1" ref="D9"/>
    <hyperlink display="Detail Function design_Module_AddressBook" location="'Detail Function design_Module_A'!A1" ref="D10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2.88"/>
    <col customWidth="1" min="3" max="3" width="37.88"/>
    <col customWidth="1" min="4" max="4" width="84.88"/>
    <col customWidth="1" min="5" max="5" width="19.63"/>
    <col customWidth="1" min="6" max="6" width="76.5"/>
  </cols>
  <sheetData>
    <row r="1">
      <c r="A1" s="65" t="s">
        <v>40</v>
      </c>
      <c r="B1" s="65" t="s">
        <v>41</v>
      </c>
      <c r="C1" s="65" t="s">
        <v>42</v>
      </c>
      <c r="D1" s="66" t="s">
        <v>43</v>
      </c>
      <c r="E1" s="66" t="s">
        <v>44</v>
      </c>
      <c r="F1" s="66" t="s">
        <v>45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7" t="s">
        <v>46</v>
      </c>
      <c r="B2" s="68" t="s">
        <v>47</v>
      </c>
      <c r="C2" s="68" t="s">
        <v>48</v>
      </c>
      <c r="D2" s="69" t="s">
        <v>49</v>
      </c>
      <c r="E2" s="70" t="s">
        <v>50</v>
      </c>
      <c r="F2" s="70" t="s">
        <v>51</v>
      </c>
      <c r="G2" s="7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2"/>
      <c r="B3" s="68" t="s">
        <v>52</v>
      </c>
      <c r="C3" s="68" t="s">
        <v>48</v>
      </c>
      <c r="D3" s="69" t="s">
        <v>53</v>
      </c>
      <c r="E3" s="70" t="s">
        <v>54</v>
      </c>
      <c r="F3" s="70" t="s">
        <v>55</v>
      </c>
      <c r="G3" s="7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2"/>
      <c r="B4" s="73" t="s">
        <v>56</v>
      </c>
      <c r="C4" s="68" t="s">
        <v>48</v>
      </c>
      <c r="D4" s="69" t="s">
        <v>57</v>
      </c>
      <c r="E4" s="70" t="s">
        <v>58</v>
      </c>
      <c r="F4" s="70"/>
      <c r="G4" s="7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2"/>
      <c r="B5" s="18"/>
      <c r="C5" s="68" t="s">
        <v>48</v>
      </c>
      <c r="D5" s="69" t="s">
        <v>59</v>
      </c>
      <c r="E5" s="70" t="s">
        <v>58</v>
      </c>
      <c r="F5" s="70" t="s">
        <v>60</v>
      </c>
      <c r="G5" s="7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2"/>
      <c r="B6" s="73" t="s">
        <v>61</v>
      </c>
      <c r="C6" s="68" t="s">
        <v>62</v>
      </c>
      <c r="D6" s="69" t="s">
        <v>63</v>
      </c>
      <c r="E6" s="70" t="s">
        <v>64</v>
      </c>
      <c r="F6" s="70" t="s">
        <v>65</v>
      </c>
      <c r="G6" s="7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2"/>
      <c r="B7" s="72"/>
      <c r="C7" s="68" t="s">
        <v>66</v>
      </c>
      <c r="D7" s="69" t="s">
        <v>67</v>
      </c>
      <c r="E7" s="70" t="s">
        <v>68</v>
      </c>
      <c r="F7" s="70" t="s">
        <v>69</v>
      </c>
      <c r="G7" s="7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2"/>
      <c r="B8" s="18"/>
      <c r="C8" s="68" t="s">
        <v>70</v>
      </c>
      <c r="D8" s="69" t="s">
        <v>71</v>
      </c>
      <c r="E8" s="70" t="s">
        <v>72</v>
      </c>
      <c r="F8" s="70" t="s">
        <v>73</v>
      </c>
      <c r="G8" s="7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8"/>
      <c r="B9" s="68" t="s">
        <v>74</v>
      </c>
      <c r="C9" s="68" t="s">
        <v>74</v>
      </c>
      <c r="D9" s="70" t="s">
        <v>75</v>
      </c>
      <c r="E9" s="70" t="s">
        <v>76</v>
      </c>
      <c r="F9" s="70" t="s">
        <v>77</v>
      </c>
      <c r="G9" s="7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4"/>
      <c r="B10" s="75"/>
      <c r="C10" s="76"/>
      <c r="D10" s="77"/>
      <c r="E10" s="77"/>
      <c r="F10" s="75"/>
      <c r="G10" s="6"/>
      <c r="H10" s="6"/>
      <c r="I10" s="6"/>
      <c r="J10" s="6"/>
      <c r="K10" s="6"/>
      <c r="L10" s="6"/>
      <c r="M10" s="6"/>
      <c r="N10" s="6"/>
    </row>
    <row r="11">
      <c r="A11" s="67" t="s">
        <v>78</v>
      </c>
      <c r="B11" s="67" t="s">
        <v>79</v>
      </c>
      <c r="C11" s="78" t="s">
        <v>80</v>
      </c>
      <c r="D11" s="78" t="s">
        <v>81</v>
      </c>
      <c r="E11" s="78" t="s">
        <v>82</v>
      </c>
      <c r="F11" s="79" t="s">
        <v>83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2"/>
      <c r="B12" s="18"/>
      <c r="C12" s="78" t="s">
        <v>48</v>
      </c>
      <c r="D12" s="78" t="s">
        <v>84</v>
      </c>
      <c r="E12" s="78" t="s">
        <v>58</v>
      </c>
      <c r="F12" s="80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2"/>
      <c r="B13" s="79" t="s">
        <v>61</v>
      </c>
      <c r="C13" s="78" t="s">
        <v>66</v>
      </c>
      <c r="D13" s="78" t="s">
        <v>85</v>
      </c>
      <c r="E13" s="78" t="s">
        <v>68</v>
      </c>
      <c r="F13" s="78" t="s">
        <v>86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2"/>
      <c r="B14" s="67" t="s">
        <v>87</v>
      </c>
      <c r="C14" s="78" t="s">
        <v>48</v>
      </c>
      <c r="D14" s="78" t="s">
        <v>88</v>
      </c>
      <c r="E14" s="78" t="s">
        <v>89</v>
      </c>
      <c r="F14" s="8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2"/>
      <c r="B15" s="72"/>
      <c r="C15" s="78" t="s">
        <v>48</v>
      </c>
      <c r="D15" s="78" t="s">
        <v>90</v>
      </c>
      <c r="E15" s="78" t="s">
        <v>91</v>
      </c>
      <c r="F15" s="78" t="s">
        <v>92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2"/>
      <c r="B16" s="18"/>
      <c r="C16" s="78" t="s">
        <v>48</v>
      </c>
      <c r="D16" s="78" t="s">
        <v>93</v>
      </c>
      <c r="E16" s="78" t="s">
        <v>89</v>
      </c>
      <c r="F16" s="8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"/>
      <c r="B17" s="79" t="s">
        <v>74</v>
      </c>
      <c r="C17" s="78" t="s">
        <v>74</v>
      </c>
      <c r="D17" s="78" t="s">
        <v>94</v>
      </c>
      <c r="E17" s="78" t="s">
        <v>76</v>
      </c>
      <c r="F17" s="78" t="s">
        <v>95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8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8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6">
    <mergeCell ref="A2:A9"/>
    <mergeCell ref="B4:B5"/>
    <mergeCell ref="B6:B8"/>
    <mergeCell ref="A11:A17"/>
    <mergeCell ref="B11:B12"/>
    <mergeCell ref="B14:B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53.0"/>
    <col customWidth="1" min="4" max="4" width="27.0"/>
    <col customWidth="1" min="5" max="5" width="45.38"/>
    <col customWidth="1" min="6" max="6" width="29.88"/>
    <col customWidth="1" min="7" max="7" width="32.0"/>
    <col customWidth="1" min="11" max="11" width="21.38"/>
  </cols>
  <sheetData>
    <row r="1">
      <c r="A1" s="82"/>
      <c r="B1" s="83"/>
      <c r="C1" s="84"/>
      <c r="D1" s="84"/>
      <c r="E1" s="84"/>
      <c r="F1" s="83"/>
      <c r="G1" s="83"/>
      <c r="H1" s="84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</row>
    <row r="2">
      <c r="A2" s="82"/>
      <c r="B2" s="85" t="s">
        <v>96</v>
      </c>
      <c r="C2" s="86" t="s">
        <v>46</v>
      </c>
      <c r="D2" s="4"/>
      <c r="E2" s="4"/>
      <c r="F2" s="4"/>
      <c r="G2" s="4"/>
      <c r="H2" s="4"/>
      <c r="I2" s="4"/>
      <c r="J2" s="5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</row>
    <row r="3">
      <c r="A3" s="82"/>
      <c r="B3" s="87" t="s">
        <v>97</v>
      </c>
      <c r="C3" s="86" t="s">
        <v>98</v>
      </c>
      <c r="D3" s="4"/>
      <c r="E3" s="4"/>
      <c r="F3" s="4"/>
      <c r="G3" s="4"/>
      <c r="H3" s="4"/>
      <c r="I3" s="4"/>
      <c r="J3" s="5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>
      <c r="A4" s="82"/>
      <c r="B4" s="85" t="s">
        <v>99</v>
      </c>
      <c r="C4" s="86" t="s">
        <v>100</v>
      </c>
      <c r="D4" s="4"/>
      <c r="E4" s="4"/>
      <c r="F4" s="4"/>
      <c r="G4" s="4"/>
      <c r="H4" s="4"/>
      <c r="I4" s="4"/>
      <c r="J4" s="5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</row>
    <row r="5">
      <c r="A5" s="82"/>
      <c r="B5" s="88" t="s">
        <v>101</v>
      </c>
      <c r="C5" s="89" t="s">
        <v>102</v>
      </c>
      <c r="D5" s="89" t="s">
        <v>103</v>
      </c>
      <c r="E5" s="89" t="s">
        <v>104</v>
      </c>
      <c r="F5" s="90" t="s">
        <v>105</v>
      </c>
      <c r="G5" s="91"/>
      <c r="H5" s="92" t="s">
        <v>106</v>
      </c>
      <c r="I5" s="4"/>
      <c r="J5" s="5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</row>
    <row r="6">
      <c r="A6" s="82"/>
      <c r="B6" s="93">
        <f>COUNTIF(H9:H982,"Passed")</f>
        <v>5</v>
      </c>
      <c r="C6" s="94">
        <f>COUNTIF(H9:H982,"Failed")</f>
        <v>2</v>
      </c>
      <c r="D6" s="95">
        <f>H6-F6-E6-C6-B6</f>
        <v>0</v>
      </c>
      <c r="E6" s="95">
        <f>COUNTIF(H$9:H$982,"Blocked")</f>
        <v>0</v>
      </c>
      <c r="F6" s="96">
        <f>COUNTIF(H$9:H$982,"Skipped")</f>
        <v>0</v>
      </c>
      <c r="G6" s="91"/>
      <c r="H6" s="97">
        <f>COUNTA(B9:B982)</f>
        <v>7</v>
      </c>
      <c r="I6" s="4"/>
      <c r="J6" s="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</row>
    <row r="7">
      <c r="A7" s="82"/>
      <c r="B7" s="98"/>
      <c r="C7" s="82"/>
      <c r="D7" s="82"/>
      <c r="E7" s="82"/>
      <c r="F7" s="98"/>
      <c r="G7" s="98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</row>
    <row r="8">
      <c r="A8" s="82"/>
      <c r="B8" s="99" t="s">
        <v>107</v>
      </c>
      <c r="C8" s="99" t="s">
        <v>108</v>
      </c>
      <c r="D8" s="99" t="s">
        <v>109</v>
      </c>
      <c r="E8" s="99" t="s">
        <v>110</v>
      </c>
      <c r="F8" s="100" t="s">
        <v>111</v>
      </c>
      <c r="G8" s="100" t="s">
        <v>112</v>
      </c>
      <c r="H8" s="100" t="s">
        <v>113</v>
      </c>
      <c r="I8" s="100" t="s">
        <v>114</v>
      </c>
      <c r="J8" s="100" t="s">
        <v>115</v>
      </c>
      <c r="K8" s="100" t="s">
        <v>45</v>
      </c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</row>
    <row r="9">
      <c r="A9" s="101"/>
      <c r="B9" s="102"/>
      <c r="C9" s="103" t="s">
        <v>116</v>
      </c>
      <c r="D9" s="104"/>
      <c r="E9" s="105"/>
      <c r="F9" s="106"/>
      <c r="G9" s="106"/>
      <c r="H9" s="107"/>
      <c r="I9" s="106"/>
      <c r="J9" s="106"/>
      <c r="K9" s="108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</row>
    <row r="10">
      <c r="A10" s="101"/>
      <c r="B10" s="110"/>
      <c r="C10" s="111" t="s">
        <v>117</v>
      </c>
      <c r="D10" s="108"/>
      <c r="E10" s="108"/>
      <c r="F10" s="112"/>
      <c r="G10" s="106"/>
      <c r="H10" s="108"/>
      <c r="I10" s="106"/>
      <c r="J10" s="106"/>
      <c r="K10" s="108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</row>
    <row r="11" ht="45.75" customHeight="1">
      <c r="A11" s="113"/>
      <c r="B11" s="114" t="s">
        <v>118</v>
      </c>
      <c r="C11" s="114" t="s">
        <v>119</v>
      </c>
      <c r="D11" s="115" t="s">
        <v>120</v>
      </c>
      <c r="E11" s="116" t="s">
        <v>121</v>
      </c>
      <c r="F11" s="117" t="s">
        <v>122</v>
      </c>
      <c r="G11" s="118"/>
      <c r="H11" s="118" t="s">
        <v>101</v>
      </c>
      <c r="I11" s="119">
        <v>45975.0</v>
      </c>
      <c r="J11" s="118" t="s">
        <v>123</v>
      </c>
      <c r="K11" s="118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</row>
    <row r="12">
      <c r="A12" s="101"/>
      <c r="B12" s="110"/>
      <c r="C12" s="111" t="s">
        <v>124</v>
      </c>
      <c r="D12" s="108"/>
      <c r="E12" s="112"/>
      <c r="F12" s="106"/>
      <c r="G12" s="106"/>
      <c r="H12" s="108"/>
      <c r="I12" s="106"/>
      <c r="J12" s="106"/>
      <c r="K12" s="108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</row>
    <row r="13">
      <c r="A13" s="101"/>
      <c r="B13" s="114" t="s">
        <v>125</v>
      </c>
      <c r="C13" s="114" t="s">
        <v>126</v>
      </c>
      <c r="D13" s="115" t="s">
        <v>127</v>
      </c>
      <c r="E13" s="116" t="s">
        <v>128</v>
      </c>
      <c r="F13" s="117" t="s">
        <v>129</v>
      </c>
      <c r="G13" s="118"/>
      <c r="H13" s="118" t="s">
        <v>101</v>
      </c>
      <c r="I13" s="119">
        <v>45975.0</v>
      </c>
      <c r="J13" s="114" t="s">
        <v>130</v>
      </c>
      <c r="K13" s="120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</row>
    <row r="14">
      <c r="A14" s="101"/>
      <c r="B14" s="114" t="s">
        <v>131</v>
      </c>
      <c r="C14" s="114" t="s">
        <v>132</v>
      </c>
      <c r="D14" s="121" t="s">
        <v>127</v>
      </c>
      <c r="E14" s="122" t="s">
        <v>133</v>
      </c>
      <c r="F14" s="117" t="s">
        <v>134</v>
      </c>
      <c r="G14" s="118"/>
      <c r="H14" s="118" t="s">
        <v>101</v>
      </c>
      <c r="I14" s="119">
        <v>45975.0</v>
      </c>
      <c r="J14" s="118" t="s">
        <v>123</v>
      </c>
      <c r="K14" s="120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</row>
    <row r="15">
      <c r="A15" s="101"/>
      <c r="B15" s="114" t="s">
        <v>135</v>
      </c>
      <c r="C15" s="114" t="s">
        <v>136</v>
      </c>
      <c r="D15" s="115" t="s">
        <v>127</v>
      </c>
      <c r="E15" s="123" t="s">
        <v>137</v>
      </c>
      <c r="F15" s="117" t="s">
        <v>138</v>
      </c>
      <c r="G15" s="118"/>
      <c r="H15" s="114" t="s">
        <v>102</v>
      </c>
      <c r="I15" s="119">
        <v>45975.0</v>
      </c>
      <c r="J15" s="114" t="s">
        <v>130</v>
      </c>
      <c r="K15" s="124" t="s">
        <v>139</v>
      </c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</row>
    <row r="16">
      <c r="A16" s="101"/>
      <c r="B16" s="114" t="s">
        <v>140</v>
      </c>
      <c r="C16" s="114" t="s">
        <v>141</v>
      </c>
      <c r="D16" s="115" t="s">
        <v>127</v>
      </c>
      <c r="E16" s="123" t="s">
        <v>142</v>
      </c>
      <c r="F16" s="117" t="s">
        <v>143</v>
      </c>
      <c r="G16" s="118"/>
      <c r="H16" s="114" t="s">
        <v>102</v>
      </c>
      <c r="I16" s="119">
        <v>45975.0</v>
      </c>
      <c r="J16" s="114" t="s">
        <v>144</v>
      </c>
      <c r="K16" s="124" t="s">
        <v>145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</row>
    <row r="17">
      <c r="A17" s="101"/>
      <c r="B17" s="114" t="s">
        <v>146</v>
      </c>
      <c r="C17" s="114" t="s">
        <v>147</v>
      </c>
      <c r="D17" s="115" t="s">
        <v>127</v>
      </c>
      <c r="E17" s="123" t="s">
        <v>148</v>
      </c>
      <c r="F17" s="117" t="s">
        <v>134</v>
      </c>
      <c r="G17" s="118"/>
      <c r="H17" s="118" t="s">
        <v>101</v>
      </c>
      <c r="I17" s="119">
        <v>45975.0</v>
      </c>
      <c r="J17" s="118" t="s">
        <v>123</v>
      </c>
      <c r="K17" s="120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</row>
    <row r="18">
      <c r="A18" s="101"/>
      <c r="B18" s="110"/>
      <c r="C18" s="111" t="s">
        <v>117</v>
      </c>
      <c r="D18" s="108"/>
      <c r="E18" s="108"/>
      <c r="F18" s="112"/>
      <c r="G18" s="106"/>
      <c r="H18" s="108"/>
      <c r="I18" s="106"/>
      <c r="J18" s="106"/>
      <c r="K18" s="108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</row>
    <row r="19">
      <c r="A19" s="101"/>
      <c r="B19" s="114" t="s">
        <v>149</v>
      </c>
      <c r="C19" s="114" t="s">
        <v>150</v>
      </c>
      <c r="D19" s="123" t="s">
        <v>127</v>
      </c>
      <c r="E19" s="123" t="s">
        <v>151</v>
      </c>
      <c r="F19" s="117" t="s">
        <v>152</v>
      </c>
      <c r="G19" s="118"/>
      <c r="H19" s="118" t="s">
        <v>101</v>
      </c>
      <c r="I19" s="119">
        <v>45975.0</v>
      </c>
      <c r="J19" s="118" t="s">
        <v>123</v>
      </c>
      <c r="K19" s="120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</row>
    <row r="20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</row>
    <row r="21">
      <c r="A21" s="125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</row>
    <row r="22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</row>
    <row r="23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</row>
    <row r="26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</row>
    <row r="27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</row>
    <row r="28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</row>
    <row r="29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</row>
    <row r="31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</row>
    <row r="3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</row>
    <row r="33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</row>
    <row r="3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</row>
    <row r="35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</row>
    <row r="36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</row>
    <row r="37">
      <c r="A37" s="125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</row>
    <row r="39">
      <c r="A39" s="125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</row>
    <row r="41">
      <c r="A41" s="125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</row>
    <row r="4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</row>
    <row r="43">
      <c r="A43" s="125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</row>
    <row r="44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</row>
    <row r="45">
      <c r="A45" s="125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</row>
    <row r="46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</row>
    <row r="47">
      <c r="A47" s="125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</row>
    <row r="48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</row>
    <row r="49">
      <c r="A49" s="125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</row>
    <row r="50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</row>
    <row r="51">
      <c r="A51" s="125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</row>
    <row r="5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</row>
    <row r="53">
      <c r="A53" s="125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</row>
    <row r="5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</row>
    <row r="56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</row>
    <row r="57">
      <c r="A57" s="125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</row>
    <row r="58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</row>
    <row r="59">
      <c r="A59" s="125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</row>
    <row r="60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</row>
    <row r="61">
      <c r="A61" s="125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</row>
    <row r="63">
      <c r="A63" s="125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</row>
    <row r="65">
      <c r="A65" s="125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</row>
    <row r="67">
      <c r="A67" s="125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</row>
    <row r="69">
      <c r="A69" s="125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</row>
    <row r="71">
      <c r="A71" s="125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</row>
    <row r="73">
      <c r="A73" s="125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</row>
    <row r="75">
      <c r="A75" s="125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</row>
    <row r="77">
      <c r="A77" s="125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</row>
    <row r="79">
      <c r="A79" s="125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</row>
    <row r="80">
      <c r="A80" s="125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</row>
    <row r="81">
      <c r="A81" s="125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</row>
    <row r="82">
      <c r="A82" s="125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</row>
    <row r="83">
      <c r="A83" s="125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</row>
    <row r="84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</row>
    <row r="85">
      <c r="A85" s="125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</row>
    <row r="86">
      <c r="A86" s="125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</row>
    <row r="87">
      <c r="A87" s="125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</row>
    <row r="88">
      <c r="A88" s="125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</row>
    <row r="89">
      <c r="A89" s="125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</row>
    <row r="90">
      <c r="A90" s="125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</row>
    <row r="91">
      <c r="A91" s="125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</row>
    <row r="92">
      <c r="A92" s="125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</row>
    <row r="93">
      <c r="A93" s="125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</row>
    <row r="94">
      <c r="A94" s="125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</row>
    <row r="95">
      <c r="A95" s="125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</row>
    <row r="96">
      <c r="A96" s="125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</row>
    <row r="97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</row>
    <row r="98">
      <c r="A98" s="125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</row>
    <row r="99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</row>
    <row r="100">
      <c r="A100" s="125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</row>
    <row r="101">
      <c r="A101" s="125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</row>
    <row r="102">
      <c r="A102" s="125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</row>
    <row r="103">
      <c r="A103" s="125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</row>
    <row r="104">
      <c r="A104" s="125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</row>
    <row r="10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</row>
    <row r="106">
      <c r="A106" s="125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</row>
    <row r="107">
      <c r="A107" s="125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</row>
    <row r="108">
      <c r="A108" s="125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</row>
    <row r="109">
      <c r="A109" s="125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</row>
    <row r="110">
      <c r="A110" s="125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</row>
    <row r="111">
      <c r="A111" s="125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</row>
    <row r="112">
      <c r="A112" s="125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</row>
    <row r="113">
      <c r="A113" s="125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</row>
    <row r="114">
      <c r="A114" s="125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</row>
    <row r="115">
      <c r="A115" s="125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</row>
    <row r="116">
      <c r="A116" s="125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</row>
    <row r="117">
      <c r="A117" s="125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</row>
    <row r="118">
      <c r="A118" s="125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</row>
    <row r="119">
      <c r="A119" s="125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</row>
    <row r="120">
      <c r="A120" s="125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</row>
    <row r="121">
      <c r="A121" s="125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</row>
    <row r="122">
      <c r="A122" s="125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</row>
    <row r="123">
      <c r="A123" s="125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</row>
    <row r="124">
      <c r="A124" s="125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</row>
    <row r="125">
      <c r="A125" s="125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</row>
    <row r="126">
      <c r="A126" s="125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</row>
    <row r="127">
      <c r="A127" s="125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</row>
    <row r="128">
      <c r="A128" s="125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</row>
    <row r="129">
      <c r="A129" s="125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</row>
    <row r="130">
      <c r="A130" s="125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</row>
    <row r="131">
      <c r="A131" s="125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</row>
    <row r="132">
      <c r="A132" s="125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</row>
    <row r="133">
      <c r="A133" s="125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</row>
    <row r="134">
      <c r="A134" s="125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</row>
    <row r="135">
      <c r="A135" s="125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</row>
    <row r="136">
      <c r="A136" s="125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</row>
    <row r="137">
      <c r="A137" s="125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</row>
    <row r="138">
      <c r="A138" s="125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</row>
    <row r="139">
      <c r="A139" s="125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</row>
    <row r="140">
      <c r="A140" s="125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</row>
    <row r="141">
      <c r="A141" s="125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</row>
    <row r="142">
      <c r="A142" s="125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</row>
    <row r="143">
      <c r="A143" s="125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</row>
    <row r="144">
      <c r="A144" s="125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</row>
    <row r="145">
      <c r="A145" s="125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</row>
    <row r="146">
      <c r="A146" s="125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</row>
    <row r="147">
      <c r="A147" s="125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</row>
    <row r="148">
      <c r="A148" s="125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</row>
    <row r="149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</row>
    <row r="150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</row>
    <row r="15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</row>
    <row r="152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</row>
    <row r="153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</row>
    <row r="154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</row>
    <row r="155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</row>
    <row r="156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</row>
    <row r="157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</row>
    <row r="158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</row>
    <row r="159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</row>
    <row r="160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</row>
    <row r="16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</row>
    <row r="162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</row>
    <row r="163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</row>
    <row r="164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</row>
    <row r="165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</row>
    <row r="166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</row>
    <row r="167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</row>
    <row r="168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</row>
    <row r="169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</row>
    <row r="170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</row>
    <row r="17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</row>
    <row r="172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</row>
    <row r="173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</row>
    <row r="174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</row>
    <row r="175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</row>
    <row r="176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</row>
    <row r="177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</row>
    <row r="178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</row>
    <row r="179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</row>
    <row r="180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</row>
    <row r="18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</row>
    <row r="182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</row>
    <row r="183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</row>
    <row r="184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</row>
    <row r="185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</row>
    <row r="186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</row>
    <row r="187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</row>
    <row r="188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</row>
    <row r="189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</row>
    <row r="190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</row>
    <row r="19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</row>
    <row r="192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</row>
    <row r="193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</row>
    <row r="194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</row>
    <row r="195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</row>
    <row r="196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</row>
    <row r="197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</row>
    <row r="198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</row>
    <row r="199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</row>
    <row r="200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</row>
    <row r="20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</row>
    <row r="202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</row>
    <row r="203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</row>
    <row r="204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</row>
    <row r="205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</row>
    <row r="206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</row>
    <row r="207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</row>
    <row r="208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</row>
    <row r="209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</row>
    <row r="210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</row>
    <row r="21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</row>
    <row r="212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</row>
    <row r="213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</row>
    <row r="214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</row>
    <row r="215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</row>
    <row r="216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</row>
    <row r="217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</row>
    <row r="218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</row>
    <row r="219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</row>
    <row r="220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</row>
    <row r="22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</row>
    <row r="222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</row>
    <row r="223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</row>
    <row r="224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</row>
    <row r="225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</row>
    <row r="226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</row>
    <row r="227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</row>
    <row r="228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</row>
    <row r="229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</row>
    <row r="230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</row>
    <row r="23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</row>
    <row r="232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</row>
    <row r="233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</row>
    <row r="234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</row>
    <row r="235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</row>
    <row r="236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</row>
    <row r="237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</row>
    <row r="238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</row>
    <row r="239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</row>
    <row r="240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</row>
    <row r="24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</row>
    <row r="242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</row>
    <row r="243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</row>
    <row r="244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</row>
    <row r="245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</row>
    <row r="246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</row>
    <row r="247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</row>
    <row r="248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</row>
    <row r="249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</row>
    <row r="250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</row>
    <row r="25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</row>
    <row r="252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</row>
    <row r="253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</row>
    <row r="254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</row>
    <row r="255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</row>
    <row r="256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</row>
    <row r="257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</row>
    <row r="258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</row>
    <row r="259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</row>
    <row r="260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</row>
    <row r="26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</row>
    <row r="262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</row>
    <row r="263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</row>
    <row r="264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</row>
    <row r="265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</row>
    <row r="266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</row>
    <row r="267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</row>
    <row r="268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</row>
    <row r="269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</row>
    <row r="270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</row>
    <row r="27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</row>
    <row r="272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</row>
    <row r="273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</row>
    <row r="274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</row>
    <row r="275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</row>
    <row r="276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</row>
    <row r="277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</row>
    <row r="278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</row>
    <row r="279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</row>
    <row r="280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</row>
    <row r="28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</row>
    <row r="282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</row>
    <row r="283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</row>
    <row r="284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</row>
    <row r="285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</row>
    <row r="286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</row>
    <row r="287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</row>
    <row r="288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</row>
    <row r="289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</row>
    <row r="290">
      <c r="A290" s="125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</row>
    <row r="291">
      <c r="A291" s="125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</row>
    <row r="292">
      <c r="A292" s="125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</row>
    <row r="293">
      <c r="A293" s="125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</row>
    <row r="294">
      <c r="A294" s="125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</row>
    <row r="295">
      <c r="A295" s="125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</row>
    <row r="296">
      <c r="A296" s="125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</row>
    <row r="297">
      <c r="A297" s="125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</row>
    <row r="298">
      <c r="A298" s="125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</row>
    <row r="299">
      <c r="A299" s="125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</row>
    <row r="300">
      <c r="A300" s="125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</row>
    <row r="301">
      <c r="A301" s="125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</row>
    <row r="302">
      <c r="A302" s="125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</row>
    <row r="303">
      <c r="A303" s="125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</row>
    <row r="304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</row>
    <row r="305">
      <c r="A305" s="125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</row>
    <row r="306">
      <c r="A306" s="125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</row>
    <row r="307">
      <c r="A307" s="125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</row>
    <row r="308">
      <c r="A308" s="125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</row>
    <row r="309">
      <c r="A309" s="125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</row>
    <row r="310">
      <c r="A310" s="125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</row>
    <row r="311">
      <c r="A311" s="125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</row>
    <row r="312">
      <c r="A312" s="125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</row>
    <row r="313">
      <c r="A313" s="125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</row>
    <row r="314">
      <c r="A314" s="125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</row>
    <row r="315">
      <c r="A315" s="125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</row>
    <row r="316">
      <c r="A316" s="125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</row>
    <row r="317">
      <c r="A317" s="125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</row>
    <row r="318">
      <c r="A318" s="125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</row>
    <row r="319">
      <c r="A319" s="125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</row>
    <row r="320">
      <c r="A320" s="125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</row>
    <row r="321">
      <c r="A321" s="125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</row>
    <row r="322">
      <c r="A322" s="125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</row>
    <row r="323">
      <c r="A323" s="125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</row>
    <row r="324">
      <c r="A324" s="125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</row>
    <row r="325">
      <c r="A325" s="125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</row>
    <row r="326">
      <c r="A326" s="125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</row>
    <row r="327">
      <c r="A327" s="125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</row>
    <row r="328">
      <c r="A328" s="125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</row>
    <row r="329">
      <c r="A329" s="125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</row>
    <row r="330">
      <c r="A330" s="125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</row>
    <row r="331">
      <c r="A331" s="125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</row>
    <row r="332">
      <c r="A332" s="125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</row>
    <row r="333">
      <c r="A333" s="125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</row>
    <row r="334">
      <c r="A334" s="125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</row>
    <row r="335">
      <c r="A335" s="125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</row>
    <row r="336">
      <c r="A336" s="125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</row>
    <row r="337">
      <c r="A337" s="125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</row>
    <row r="338">
      <c r="A338" s="125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</row>
    <row r="339">
      <c r="A339" s="125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</row>
    <row r="340">
      <c r="A340" s="125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</row>
    <row r="341">
      <c r="A341" s="125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</row>
    <row r="342">
      <c r="A342" s="125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</row>
    <row r="343">
      <c r="A343" s="125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</row>
    <row r="344">
      <c r="A344" s="125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</row>
    <row r="345">
      <c r="A345" s="125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</row>
    <row r="346">
      <c r="A346" s="125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</row>
    <row r="347">
      <c r="A347" s="125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</row>
    <row r="348">
      <c r="A348" s="125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</row>
    <row r="349">
      <c r="A349" s="125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</row>
    <row r="350">
      <c r="A350" s="125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</row>
    <row r="351">
      <c r="A351" s="125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</row>
    <row r="352">
      <c r="A352" s="125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</row>
    <row r="353">
      <c r="A353" s="125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</row>
    <row r="354">
      <c r="A354" s="125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</row>
    <row r="355">
      <c r="A355" s="125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</row>
    <row r="356">
      <c r="A356" s="125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</row>
    <row r="357">
      <c r="A357" s="125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</row>
    <row r="358">
      <c r="A358" s="125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</row>
    <row r="359">
      <c r="A359" s="125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</row>
    <row r="360">
      <c r="A360" s="125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</row>
    <row r="361">
      <c r="A361" s="125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</row>
    <row r="362">
      <c r="A362" s="125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</row>
    <row r="363">
      <c r="A363" s="125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</row>
    <row r="364">
      <c r="A364" s="125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</row>
    <row r="365">
      <c r="A365" s="125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</row>
    <row r="366">
      <c r="A366" s="125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</row>
    <row r="367">
      <c r="A367" s="125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</row>
    <row r="368">
      <c r="A368" s="125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</row>
    <row r="369">
      <c r="A369" s="125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</row>
    <row r="370">
      <c r="A370" s="125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</row>
    <row r="371">
      <c r="A371" s="125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</row>
    <row r="372">
      <c r="A372" s="125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</row>
    <row r="373">
      <c r="A373" s="125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</row>
    <row r="374">
      <c r="A374" s="125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</row>
    <row r="375">
      <c r="A375" s="125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</row>
    <row r="376">
      <c r="A376" s="125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</row>
    <row r="377">
      <c r="A377" s="125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</row>
    <row r="378">
      <c r="A378" s="125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</row>
    <row r="379">
      <c r="A379" s="125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</row>
    <row r="380">
      <c r="A380" s="125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</row>
    <row r="381">
      <c r="A381" s="125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</row>
    <row r="382">
      <c r="A382" s="125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</row>
    <row r="383">
      <c r="A383" s="125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</row>
    <row r="384">
      <c r="A384" s="125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</row>
    <row r="385">
      <c r="A385" s="125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</row>
    <row r="386">
      <c r="A386" s="125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</row>
    <row r="387">
      <c r="A387" s="125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</row>
    <row r="388">
      <c r="A388" s="125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</row>
    <row r="389">
      <c r="A389" s="125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</row>
    <row r="390">
      <c r="A390" s="125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</row>
    <row r="391">
      <c r="A391" s="125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</row>
    <row r="392">
      <c r="A392" s="125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</row>
    <row r="393">
      <c r="A393" s="125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</row>
    <row r="394">
      <c r="A394" s="125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</row>
    <row r="395">
      <c r="A395" s="125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</row>
    <row r="396">
      <c r="A396" s="125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</row>
    <row r="397">
      <c r="A397" s="125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</row>
    <row r="398">
      <c r="A398" s="125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</row>
    <row r="399">
      <c r="A399" s="125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</row>
    <row r="400">
      <c r="A400" s="125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</row>
    <row r="401">
      <c r="A401" s="125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</row>
    <row r="402">
      <c r="A402" s="125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</row>
    <row r="403">
      <c r="A403" s="125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</row>
    <row r="404">
      <c r="A404" s="125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</row>
    <row r="405">
      <c r="A405" s="125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</row>
    <row r="406">
      <c r="A406" s="125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</row>
    <row r="407">
      <c r="A407" s="125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</row>
    <row r="408">
      <c r="A408" s="125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</row>
    <row r="409">
      <c r="A409" s="125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</row>
    <row r="410">
      <c r="A410" s="125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</row>
    <row r="411">
      <c r="A411" s="125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</row>
    <row r="412">
      <c r="A412" s="125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</row>
    <row r="413">
      <c r="A413" s="125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</row>
    <row r="414">
      <c r="A414" s="125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</row>
    <row r="415">
      <c r="A415" s="125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</row>
    <row r="416">
      <c r="A416" s="125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</row>
    <row r="417">
      <c r="A417" s="125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</row>
    <row r="418">
      <c r="A418" s="125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</row>
    <row r="419">
      <c r="A419" s="125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</row>
    <row r="420">
      <c r="A420" s="125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</row>
    <row r="421">
      <c r="A421" s="125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</row>
    <row r="422">
      <c r="A422" s="125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</row>
    <row r="423">
      <c r="A423" s="125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</row>
    <row r="424">
      <c r="A424" s="125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</row>
    <row r="425">
      <c r="A425" s="125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</row>
    <row r="426">
      <c r="A426" s="125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</row>
    <row r="427">
      <c r="A427" s="125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</row>
    <row r="428">
      <c r="A428" s="125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</row>
    <row r="429">
      <c r="A429" s="125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</row>
    <row r="430">
      <c r="A430" s="125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</row>
    <row r="431">
      <c r="A431" s="125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</row>
    <row r="432">
      <c r="A432" s="125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</row>
    <row r="433">
      <c r="A433" s="125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</row>
    <row r="434">
      <c r="A434" s="125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</row>
    <row r="435">
      <c r="A435" s="125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</row>
    <row r="436">
      <c r="A436" s="125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</row>
    <row r="437">
      <c r="A437" s="125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</row>
    <row r="438">
      <c r="A438" s="125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</row>
    <row r="439">
      <c r="A439" s="125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</row>
    <row r="440">
      <c r="A440" s="125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</row>
    <row r="441">
      <c r="A441" s="125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</row>
    <row r="442">
      <c r="A442" s="125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</row>
    <row r="443">
      <c r="A443" s="125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</row>
    <row r="444">
      <c r="A444" s="125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</row>
    <row r="445">
      <c r="A445" s="125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</row>
    <row r="446">
      <c r="A446" s="125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</row>
    <row r="447">
      <c r="A447" s="125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</row>
    <row r="448">
      <c r="A448" s="125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</row>
    <row r="449">
      <c r="A449" s="125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</row>
    <row r="450">
      <c r="A450" s="125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</row>
    <row r="451">
      <c r="A451" s="125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</row>
    <row r="452">
      <c r="A452" s="125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</row>
    <row r="453">
      <c r="A453" s="125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</row>
    <row r="454">
      <c r="A454" s="125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</row>
    <row r="455">
      <c r="A455" s="125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</row>
    <row r="456">
      <c r="A456" s="125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</row>
    <row r="457">
      <c r="A457" s="125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</row>
    <row r="458">
      <c r="A458" s="125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</row>
    <row r="459">
      <c r="A459" s="125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</row>
    <row r="460">
      <c r="A460" s="125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</row>
    <row r="461">
      <c r="A461" s="125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</row>
    <row r="462">
      <c r="A462" s="125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</row>
    <row r="463">
      <c r="A463" s="125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</row>
    <row r="464">
      <c r="A464" s="125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</row>
    <row r="465">
      <c r="A465" s="125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</row>
    <row r="466">
      <c r="A466" s="125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</row>
    <row r="467">
      <c r="A467" s="125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</row>
    <row r="468">
      <c r="A468" s="125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</row>
    <row r="469">
      <c r="A469" s="125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</row>
    <row r="470">
      <c r="A470" s="125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</row>
    <row r="471">
      <c r="A471" s="125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</row>
    <row r="472">
      <c r="A472" s="125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</row>
    <row r="473">
      <c r="A473" s="125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</row>
    <row r="474">
      <c r="A474" s="125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</row>
    <row r="475">
      <c r="A475" s="125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</row>
    <row r="476">
      <c r="A476" s="125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</row>
    <row r="477">
      <c r="A477" s="125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</row>
    <row r="478">
      <c r="A478" s="125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</row>
    <row r="479">
      <c r="A479" s="125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</row>
    <row r="480">
      <c r="A480" s="125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</row>
    <row r="481">
      <c r="A481" s="125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</row>
    <row r="482">
      <c r="A482" s="125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</row>
    <row r="483">
      <c r="A483" s="125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</row>
    <row r="484">
      <c r="A484" s="125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</row>
    <row r="485">
      <c r="A485" s="125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</row>
    <row r="486">
      <c r="A486" s="125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</row>
    <row r="487">
      <c r="A487" s="125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</row>
    <row r="488">
      <c r="A488" s="125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</row>
    <row r="489">
      <c r="A489" s="125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</row>
    <row r="490">
      <c r="A490" s="125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</row>
    <row r="491">
      <c r="A491" s="125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</row>
    <row r="492">
      <c r="A492" s="125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</row>
    <row r="493">
      <c r="A493" s="125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</row>
    <row r="494">
      <c r="A494" s="125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</row>
    <row r="495">
      <c r="A495" s="125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</row>
    <row r="496">
      <c r="A496" s="125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</row>
    <row r="497">
      <c r="A497" s="125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</row>
    <row r="498">
      <c r="A498" s="125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</row>
    <row r="499">
      <c r="A499" s="125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</row>
    <row r="500">
      <c r="A500" s="125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</row>
    <row r="501">
      <c r="A501" s="125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</row>
    <row r="502">
      <c r="A502" s="125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</row>
    <row r="503">
      <c r="A503" s="125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</row>
    <row r="504">
      <c r="A504" s="125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</row>
    <row r="505">
      <c r="A505" s="125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</row>
    <row r="506">
      <c r="A506" s="125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</row>
    <row r="507">
      <c r="A507" s="125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</row>
    <row r="508">
      <c r="A508" s="125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</row>
    <row r="509">
      <c r="A509" s="125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</row>
    <row r="510">
      <c r="A510" s="125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</row>
    <row r="511">
      <c r="A511" s="125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</row>
    <row r="512">
      <c r="A512" s="125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</row>
    <row r="513">
      <c r="A513" s="125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</row>
    <row r="514">
      <c r="A514" s="125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</row>
    <row r="515">
      <c r="A515" s="125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</row>
    <row r="516">
      <c r="A516" s="125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</row>
    <row r="517">
      <c r="A517" s="125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</row>
    <row r="518">
      <c r="A518" s="125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</row>
    <row r="519">
      <c r="A519" s="125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</row>
    <row r="520">
      <c r="A520" s="125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</row>
    <row r="521">
      <c r="A521" s="125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</row>
    <row r="522">
      <c r="A522" s="125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</row>
    <row r="523">
      <c r="A523" s="125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</row>
    <row r="524">
      <c r="A524" s="125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</row>
    <row r="525">
      <c r="A525" s="125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</row>
    <row r="526">
      <c r="A526" s="125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</row>
    <row r="527">
      <c r="A527" s="125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</row>
    <row r="528">
      <c r="A528" s="125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</row>
    <row r="529">
      <c r="A529" s="125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</row>
    <row r="530">
      <c r="A530" s="125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</row>
    <row r="531">
      <c r="A531" s="125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</row>
    <row r="532">
      <c r="A532" s="125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</row>
    <row r="533">
      <c r="A533" s="125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</row>
    <row r="534">
      <c r="A534" s="125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</row>
    <row r="535">
      <c r="A535" s="125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</row>
    <row r="536">
      <c r="A536" s="125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</row>
    <row r="537">
      <c r="A537" s="125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</row>
    <row r="538">
      <c r="A538" s="125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</row>
    <row r="539">
      <c r="A539" s="125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</row>
    <row r="540">
      <c r="A540" s="125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</row>
    <row r="541">
      <c r="A541" s="125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</row>
    <row r="542">
      <c r="A542" s="125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</row>
    <row r="543">
      <c r="A543" s="125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</row>
    <row r="544">
      <c r="A544" s="125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</row>
    <row r="545">
      <c r="A545" s="125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</row>
    <row r="546">
      <c r="A546" s="125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</row>
    <row r="547">
      <c r="A547" s="125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</row>
    <row r="548">
      <c r="A548" s="125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</row>
    <row r="549">
      <c r="A549" s="125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</row>
    <row r="550">
      <c r="A550" s="125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</row>
    <row r="551">
      <c r="A551" s="125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</row>
    <row r="552">
      <c r="A552" s="125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</row>
    <row r="553">
      <c r="A553" s="125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</row>
    <row r="554">
      <c r="A554" s="125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</row>
    <row r="555">
      <c r="A555" s="125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</row>
    <row r="556">
      <c r="A556" s="125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</row>
    <row r="557">
      <c r="A557" s="125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</row>
    <row r="558">
      <c r="A558" s="125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</row>
    <row r="559">
      <c r="A559" s="125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</row>
    <row r="560">
      <c r="A560" s="125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</row>
    <row r="561">
      <c r="A561" s="125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</row>
    <row r="562">
      <c r="A562" s="125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</row>
    <row r="563">
      <c r="A563" s="125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</row>
    <row r="564">
      <c r="A564" s="125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</row>
    <row r="565">
      <c r="A565" s="125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</row>
    <row r="566">
      <c r="A566" s="125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</row>
    <row r="567">
      <c r="A567" s="125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</row>
    <row r="568">
      <c r="A568" s="125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</row>
    <row r="569">
      <c r="A569" s="125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</row>
    <row r="570">
      <c r="A570" s="125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</row>
    <row r="571">
      <c r="A571" s="125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</row>
    <row r="572">
      <c r="A572" s="125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</row>
    <row r="573">
      <c r="A573" s="125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</row>
    <row r="574">
      <c r="A574" s="125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</row>
    <row r="575">
      <c r="A575" s="125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</row>
    <row r="576">
      <c r="A576" s="125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</row>
    <row r="577">
      <c r="A577" s="125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</row>
    <row r="578">
      <c r="A578" s="125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</row>
    <row r="579">
      <c r="A579" s="125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</row>
    <row r="580">
      <c r="A580" s="125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</row>
    <row r="581">
      <c r="A581" s="125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</row>
    <row r="582">
      <c r="A582" s="125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</row>
    <row r="583">
      <c r="A583" s="125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</row>
    <row r="584">
      <c r="A584" s="125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</row>
    <row r="585">
      <c r="A585" s="125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</row>
    <row r="586">
      <c r="A586" s="125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</row>
    <row r="587">
      <c r="A587" s="125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</row>
    <row r="588">
      <c r="A588" s="125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</row>
    <row r="589">
      <c r="A589" s="125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</row>
    <row r="590">
      <c r="A590" s="125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</row>
    <row r="591">
      <c r="A591" s="125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</row>
    <row r="592">
      <c r="A592" s="125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</row>
    <row r="593">
      <c r="A593" s="125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</row>
    <row r="594">
      <c r="A594" s="125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</row>
    <row r="595">
      <c r="A595" s="125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</row>
    <row r="596">
      <c r="A596" s="125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</row>
    <row r="597">
      <c r="A597" s="125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</row>
    <row r="598">
      <c r="A598" s="125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</row>
    <row r="599">
      <c r="A599" s="125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</row>
    <row r="600">
      <c r="A600" s="125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</row>
    <row r="601">
      <c r="A601" s="125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</row>
    <row r="602">
      <c r="A602" s="125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</row>
    <row r="603">
      <c r="A603" s="125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</row>
    <row r="604">
      <c r="A604" s="125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</row>
    <row r="605">
      <c r="A605" s="125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</row>
    <row r="606">
      <c r="A606" s="125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</row>
    <row r="607">
      <c r="A607" s="125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</row>
    <row r="608">
      <c r="A608" s="125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</row>
    <row r="609">
      <c r="A609" s="125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</row>
    <row r="610">
      <c r="A610" s="125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</row>
    <row r="611">
      <c r="A611" s="125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</row>
    <row r="612">
      <c r="A612" s="125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</row>
    <row r="613">
      <c r="A613" s="125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</row>
    <row r="614">
      <c r="A614" s="125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</row>
    <row r="615">
      <c r="A615" s="125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</row>
    <row r="616">
      <c r="A616" s="125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</row>
    <row r="617">
      <c r="A617" s="125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</row>
    <row r="618">
      <c r="A618" s="125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</row>
    <row r="619">
      <c r="A619" s="125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</row>
    <row r="620">
      <c r="A620" s="125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</row>
    <row r="621">
      <c r="A621" s="125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</row>
    <row r="622">
      <c r="A622" s="125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</row>
    <row r="623">
      <c r="A623" s="125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</row>
    <row r="624">
      <c r="A624" s="125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</row>
    <row r="625">
      <c r="A625" s="125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</row>
    <row r="626">
      <c r="A626" s="125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</row>
    <row r="627">
      <c r="A627" s="125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</row>
    <row r="628">
      <c r="A628" s="125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</row>
    <row r="629">
      <c r="A629" s="125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</row>
    <row r="630">
      <c r="A630" s="125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</row>
    <row r="631">
      <c r="A631" s="125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</row>
    <row r="632">
      <c r="A632" s="125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</row>
    <row r="633">
      <c r="A633" s="125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</row>
    <row r="634">
      <c r="A634" s="125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</row>
    <row r="635">
      <c r="A635" s="125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</row>
    <row r="636">
      <c r="A636" s="125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</row>
    <row r="637">
      <c r="A637" s="125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</row>
    <row r="638">
      <c r="A638" s="125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</row>
    <row r="639">
      <c r="A639" s="125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</row>
    <row r="640">
      <c r="A640" s="125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</row>
    <row r="641">
      <c r="A641" s="125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</row>
    <row r="642">
      <c r="A642" s="125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</row>
    <row r="643">
      <c r="A643" s="125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</row>
    <row r="644">
      <c r="A644" s="125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</row>
    <row r="645">
      <c r="A645" s="125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</row>
    <row r="646">
      <c r="A646" s="125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</row>
    <row r="647">
      <c r="A647" s="125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</row>
    <row r="648">
      <c r="A648" s="125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</row>
    <row r="649">
      <c r="A649" s="125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</row>
    <row r="650">
      <c r="A650" s="125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</row>
    <row r="651">
      <c r="A651" s="125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</row>
    <row r="652">
      <c r="A652" s="125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</row>
    <row r="653">
      <c r="A653" s="125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</row>
    <row r="654">
      <c r="A654" s="125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</row>
    <row r="655">
      <c r="A655" s="125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</row>
    <row r="656">
      <c r="A656" s="125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</row>
    <row r="657">
      <c r="A657" s="125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</row>
    <row r="658">
      <c r="A658" s="125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</row>
    <row r="659">
      <c r="A659" s="125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</row>
    <row r="660">
      <c r="A660" s="125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</row>
    <row r="661">
      <c r="A661" s="125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</row>
    <row r="662">
      <c r="A662" s="125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</row>
    <row r="663">
      <c r="A663" s="125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</row>
    <row r="664">
      <c r="A664" s="125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</row>
    <row r="665">
      <c r="A665" s="125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</row>
    <row r="666">
      <c r="A666" s="125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</row>
    <row r="667">
      <c r="A667" s="125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</row>
    <row r="668">
      <c r="A668" s="125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</row>
    <row r="669">
      <c r="A669" s="125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</row>
    <row r="670">
      <c r="A670" s="125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</row>
    <row r="671">
      <c r="A671" s="125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</row>
    <row r="672">
      <c r="A672" s="125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</row>
    <row r="673">
      <c r="A673" s="125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</row>
    <row r="674">
      <c r="A674" s="125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</row>
    <row r="675">
      <c r="A675" s="125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</row>
    <row r="676">
      <c r="A676" s="125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</row>
    <row r="677">
      <c r="A677" s="125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</row>
    <row r="678">
      <c r="A678" s="125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</row>
    <row r="679">
      <c r="A679" s="125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</row>
    <row r="680">
      <c r="A680" s="125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</row>
    <row r="681">
      <c r="A681" s="125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</row>
    <row r="682">
      <c r="A682" s="125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</row>
    <row r="683">
      <c r="A683" s="125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</row>
    <row r="684">
      <c r="A684" s="125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</row>
    <row r="685">
      <c r="A685" s="125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</row>
    <row r="686">
      <c r="A686" s="125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</row>
    <row r="687">
      <c r="A687" s="125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</row>
    <row r="688">
      <c r="A688" s="125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</row>
    <row r="689">
      <c r="A689" s="125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</row>
    <row r="690">
      <c r="A690" s="125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</row>
    <row r="691">
      <c r="A691" s="125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</row>
    <row r="692">
      <c r="A692" s="125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</row>
    <row r="693">
      <c r="A693" s="125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</row>
    <row r="694">
      <c r="A694" s="125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</row>
    <row r="695">
      <c r="A695" s="125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</row>
    <row r="696">
      <c r="A696" s="125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</row>
    <row r="697">
      <c r="A697" s="125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</row>
    <row r="698">
      <c r="A698" s="125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</row>
    <row r="699">
      <c r="A699" s="125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</row>
    <row r="700">
      <c r="A700" s="125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</row>
    <row r="701">
      <c r="A701" s="125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</row>
    <row r="702">
      <c r="A702" s="125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</row>
    <row r="703">
      <c r="A703" s="125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</row>
    <row r="704">
      <c r="A704" s="125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</row>
    <row r="705">
      <c r="A705" s="125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</row>
    <row r="706">
      <c r="A706" s="125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</row>
    <row r="707">
      <c r="A707" s="125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</row>
    <row r="708">
      <c r="A708" s="125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</row>
    <row r="709">
      <c r="A709" s="125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</row>
    <row r="710">
      <c r="A710" s="125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</row>
    <row r="711">
      <c r="A711" s="125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</row>
    <row r="712">
      <c r="A712" s="125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</row>
    <row r="713">
      <c r="A713" s="125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</row>
    <row r="714">
      <c r="A714" s="125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</row>
    <row r="715">
      <c r="A715" s="125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</row>
    <row r="716">
      <c r="A716" s="125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</row>
    <row r="717">
      <c r="A717" s="125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</row>
    <row r="718">
      <c r="A718" s="125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</row>
    <row r="719">
      <c r="A719" s="125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</row>
    <row r="720">
      <c r="A720" s="125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</row>
    <row r="721">
      <c r="A721" s="125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</row>
    <row r="722">
      <c r="A722" s="125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</row>
    <row r="723">
      <c r="A723" s="125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</row>
    <row r="724">
      <c r="A724" s="125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</row>
    <row r="725">
      <c r="A725" s="125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</row>
    <row r="726">
      <c r="A726" s="125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</row>
    <row r="727">
      <c r="A727" s="125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</row>
    <row r="728">
      <c r="A728" s="125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</row>
    <row r="729">
      <c r="A729" s="125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</row>
    <row r="730">
      <c r="A730" s="125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</row>
    <row r="731">
      <c r="A731" s="125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</row>
    <row r="732">
      <c r="A732" s="125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</row>
    <row r="733">
      <c r="A733" s="125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</row>
    <row r="734">
      <c r="A734" s="125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</row>
    <row r="735">
      <c r="A735" s="125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</row>
    <row r="736">
      <c r="A736" s="125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</row>
    <row r="737">
      <c r="A737" s="125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</row>
    <row r="738">
      <c r="A738" s="125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</row>
    <row r="739">
      <c r="A739" s="125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</row>
    <row r="740">
      <c r="A740" s="125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</row>
    <row r="741">
      <c r="A741" s="125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</row>
    <row r="742">
      <c r="A742" s="125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</row>
    <row r="743">
      <c r="A743" s="125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</row>
    <row r="744">
      <c r="A744" s="125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</row>
    <row r="745">
      <c r="A745" s="125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</row>
    <row r="746">
      <c r="A746" s="125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</row>
    <row r="747">
      <c r="A747" s="125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</row>
    <row r="748">
      <c r="A748" s="125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</row>
    <row r="749">
      <c r="A749" s="125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</row>
    <row r="750">
      <c r="A750" s="125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</row>
    <row r="751">
      <c r="A751" s="125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</row>
    <row r="752">
      <c r="A752" s="125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</row>
    <row r="753">
      <c r="A753" s="125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</row>
    <row r="754">
      <c r="A754" s="125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</row>
    <row r="755">
      <c r="A755" s="125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</row>
    <row r="756">
      <c r="A756" s="125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</row>
    <row r="757">
      <c r="A757" s="125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</row>
    <row r="758">
      <c r="A758" s="125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</row>
    <row r="759">
      <c r="A759" s="125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</row>
    <row r="760">
      <c r="A760" s="125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</row>
    <row r="761">
      <c r="A761" s="125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</row>
    <row r="762">
      <c r="A762" s="125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</row>
    <row r="763">
      <c r="A763" s="125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</row>
    <row r="764">
      <c r="A764" s="125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</row>
    <row r="765">
      <c r="A765" s="125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</row>
    <row r="766">
      <c r="A766" s="125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</row>
    <row r="767">
      <c r="A767" s="125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</row>
    <row r="768">
      <c r="A768" s="125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</row>
    <row r="769">
      <c r="A769" s="125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</row>
    <row r="770">
      <c r="A770" s="125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</row>
    <row r="771">
      <c r="A771" s="125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</row>
    <row r="772">
      <c r="A772" s="125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</row>
    <row r="773">
      <c r="A773" s="125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</row>
    <row r="774">
      <c r="A774" s="125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</row>
    <row r="775">
      <c r="A775" s="125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</row>
    <row r="776">
      <c r="A776" s="125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</row>
    <row r="777">
      <c r="A777" s="125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</row>
    <row r="778">
      <c r="A778" s="125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</row>
    <row r="779">
      <c r="A779" s="125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</row>
    <row r="780">
      <c r="A780" s="125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</row>
    <row r="781">
      <c r="A781" s="125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</row>
    <row r="782">
      <c r="A782" s="125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</row>
    <row r="783">
      <c r="A783" s="125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</row>
    <row r="784">
      <c r="A784" s="125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</row>
    <row r="785">
      <c r="A785" s="125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</row>
    <row r="786">
      <c r="A786" s="125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</row>
    <row r="787">
      <c r="A787" s="125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</row>
    <row r="788">
      <c r="A788" s="125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</row>
    <row r="789">
      <c r="A789" s="125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</row>
    <row r="790">
      <c r="A790" s="125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</row>
    <row r="791">
      <c r="A791" s="125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</row>
    <row r="792">
      <c r="A792" s="125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</row>
    <row r="793">
      <c r="A793" s="125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</row>
    <row r="794">
      <c r="A794" s="125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</row>
    <row r="795">
      <c r="A795" s="125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</row>
    <row r="796">
      <c r="A796" s="125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</row>
    <row r="797">
      <c r="A797" s="125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</row>
    <row r="798">
      <c r="A798" s="125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</row>
    <row r="799">
      <c r="A799" s="125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</row>
    <row r="800">
      <c r="A800" s="125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</row>
    <row r="801">
      <c r="A801" s="125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</row>
    <row r="802">
      <c r="A802" s="125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</row>
    <row r="803">
      <c r="A803" s="125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</row>
    <row r="804">
      <c r="A804" s="125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</row>
    <row r="805">
      <c r="A805" s="125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</row>
    <row r="806">
      <c r="A806" s="125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</row>
    <row r="807">
      <c r="A807" s="125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</row>
    <row r="808">
      <c r="A808" s="125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</row>
    <row r="809">
      <c r="A809" s="125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</row>
    <row r="810">
      <c r="A810" s="125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</row>
    <row r="811">
      <c r="A811" s="125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</row>
    <row r="812">
      <c r="A812" s="125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</row>
    <row r="813">
      <c r="A813" s="125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</row>
    <row r="814">
      <c r="A814" s="125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</row>
    <row r="815">
      <c r="A815" s="125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</row>
    <row r="816">
      <c r="A816" s="125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</row>
    <row r="817">
      <c r="A817" s="125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</row>
    <row r="818">
      <c r="A818" s="125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</row>
    <row r="819">
      <c r="A819" s="125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</row>
    <row r="820">
      <c r="A820" s="125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</row>
    <row r="821">
      <c r="A821" s="125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</row>
    <row r="822">
      <c r="A822" s="125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</row>
    <row r="823">
      <c r="A823" s="125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</row>
    <row r="824">
      <c r="A824" s="125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</row>
    <row r="825">
      <c r="A825" s="125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</row>
    <row r="826">
      <c r="A826" s="125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</row>
    <row r="827">
      <c r="A827" s="125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</row>
    <row r="828">
      <c r="A828" s="125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</row>
    <row r="829">
      <c r="A829" s="125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</row>
    <row r="830">
      <c r="A830" s="125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</row>
    <row r="831">
      <c r="A831" s="125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</row>
    <row r="832">
      <c r="A832" s="125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</row>
    <row r="833">
      <c r="A833" s="125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</row>
    <row r="834">
      <c r="A834" s="125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</row>
    <row r="835">
      <c r="A835" s="125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</row>
    <row r="836">
      <c r="A836" s="125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</row>
    <row r="837">
      <c r="A837" s="125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</row>
    <row r="838">
      <c r="A838" s="125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</row>
    <row r="839">
      <c r="A839" s="125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</row>
    <row r="840">
      <c r="A840" s="125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</row>
    <row r="841">
      <c r="A841" s="125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</row>
    <row r="842">
      <c r="A842" s="125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</row>
    <row r="843">
      <c r="A843" s="125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</row>
    <row r="844">
      <c r="A844" s="125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</row>
    <row r="845">
      <c r="A845" s="125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</row>
    <row r="846">
      <c r="A846" s="125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</row>
    <row r="847">
      <c r="A847" s="125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</row>
    <row r="848">
      <c r="A848" s="125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</row>
    <row r="849">
      <c r="A849" s="125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</row>
    <row r="850">
      <c r="A850" s="125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</row>
    <row r="851">
      <c r="A851" s="125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</row>
    <row r="852">
      <c r="A852" s="125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</row>
    <row r="853">
      <c r="A853" s="125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</row>
    <row r="854">
      <c r="A854" s="125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</row>
    <row r="855">
      <c r="A855" s="125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</row>
    <row r="856">
      <c r="A856" s="125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</row>
    <row r="857">
      <c r="A857" s="125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</row>
    <row r="858">
      <c r="A858" s="125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</row>
    <row r="859">
      <c r="A859" s="125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</row>
    <row r="860">
      <c r="A860" s="125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</row>
    <row r="861">
      <c r="A861" s="125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</row>
    <row r="862">
      <c r="A862" s="125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</row>
    <row r="863">
      <c r="A863" s="125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</row>
    <row r="864">
      <c r="A864" s="125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</row>
    <row r="865">
      <c r="A865" s="125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</row>
    <row r="866">
      <c r="A866" s="125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</row>
    <row r="867">
      <c r="A867" s="125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</row>
    <row r="868">
      <c r="A868" s="125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</row>
    <row r="869">
      <c r="A869" s="125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</row>
    <row r="870">
      <c r="A870" s="125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</row>
    <row r="871">
      <c r="A871" s="125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</row>
    <row r="872">
      <c r="A872" s="125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</row>
    <row r="873">
      <c r="A873" s="125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</row>
    <row r="874">
      <c r="A874" s="125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</row>
    <row r="875">
      <c r="A875" s="125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</row>
    <row r="876">
      <c r="A876" s="125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</row>
    <row r="877">
      <c r="A877" s="125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</row>
    <row r="878">
      <c r="A878" s="125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</row>
    <row r="879">
      <c r="A879" s="125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</row>
    <row r="880">
      <c r="A880" s="125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</row>
    <row r="881">
      <c r="A881" s="125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</row>
    <row r="882">
      <c r="A882" s="125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</row>
    <row r="883">
      <c r="A883" s="125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</row>
    <row r="884">
      <c r="A884" s="125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</row>
    <row r="885">
      <c r="A885" s="125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</row>
    <row r="886">
      <c r="A886" s="125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</row>
    <row r="887">
      <c r="A887" s="125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</row>
    <row r="888">
      <c r="A888" s="125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</row>
    <row r="889">
      <c r="A889" s="125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</row>
    <row r="890">
      <c r="A890" s="125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</row>
    <row r="891">
      <c r="A891" s="125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</row>
    <row r="892">
      <c r="A892" s="125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</row>
    <row r="893">
      <c r="A893" s="125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</row>
    <row r="894">
      <c r="A894" s="125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</row>
    <row r="895">
      <c r="A895" s="125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</row>
    <row r="896">
      <c r="A896" s="125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</row>
    <row r="897">
      <c r="A897" s="125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</row>
    <row r="898">
      <c r="A898" s="125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</row>
    <row r="899">
      <c r="A899" s="125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</row>
    <row r="900">
      <c r="A900" s="125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</row>
    <row r="901">
      <c r="A901" s="125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</row>
    <row r="902">
      <c r="A902" s="125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</row>
    <row r="903">
      <c r="A903" s="125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</row>
    <row r="904">
      <c r="A904" s="125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</row>
    <row r="905">
      <c r="A905" s="125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</row>
    <row r="906">
      <c r="A906" s="125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</row>
    <row r="907">
      <c r="A907" s="125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</row>
    <row r="908">
      <c r="A908" s="125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</row>
    <row r="909">
      <c r="A909" s="125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</row>
    <row r="910">
      <c r="A910" s="125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</row>
    <row r="911">
      <c r="A911" s="125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</row>
    <row r="912">
      <c r="A912" s="125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</row>
    <row r="913">
      <c r="A913" s="125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</row>
    <row r="914">
      <c r="A914" s="125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</row>
    <row r="915">
      <c r="A915" s="125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</row>
    <row r="916">
      <c r="A916" s="125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</row>
    <row r="917">
      <c r="A917" s="125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</row>
    <row r="918">
      <c r="A918" s="125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</row>
    <row r="919">
      <c r="A919" s="125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</row>
    <row r="920">
      <c r="A920" s="125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</row>
    <row r="921">
      <c r="A921" s="125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</row>
    <row r="922">
      <c r="A922" s="125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</row>
    <row r="923">
      <c r="A923" s="125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</row>
    <row r="924">
      <c r="A924" s="125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</row>
    <row r="925">
      <c r="A925" s="125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</row>
    <row r="926">
      <c r="A926" s="125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</row>
    <row r="927">
      <c r="A927" s="125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</row>
    <row r="928">
      <c r="A928" s="125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</row>
    <row r="929">
      <c r="A929" s="125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</row>
    <row r="930">
      <c r="A930" s="125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</row>
    <row r="931">
      <c r="A931" s="125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</row>
    <row r="932">
      <c r="A932" s="125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</row>
    <row r="933">
      <c r="A933" s="125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</row>
    <row r="934">
      <c r="A934" s="125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</row>
    <row r="935">
      <c r="A935" s="125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</row>
    <row r="936">
      <c r="A936" s="125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</row>
    <row r="937">
      <c r="A937" s="125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</row>
    <row r="938">
      <c r="A938" s="125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</row>
    <row r="939">
      <c r="A939" s="125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</row>
    <row r="940">
      <c r="A940" s="125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</row>
    <row r="941">
      <c r="A941" s="125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</row>
    <row r="942">
      <c r="A942" s="125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</row>
    <row r="943">
      <c r="A943" s="125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</row>
    <row r="944">
      <c r="A944" s="125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</row>
    <row r="945">
      <c r="A945" s="125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</row>
    <row r="946">
      <c r="A946" s="125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</row>
    <row r="947">
      <c r="A947" s="125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</row>
    <row r="948">
      <c r="A948" s="125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</row>
    <row r="949">
      <c r="A949" s="125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</row>
    <row r="950">
      <c r="A950" s="125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</row>
    <row r="951">
      <c r="A951" s="125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</row>
    <row r="952">
      <c r="A952" s="125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</row>
    <row r="953">
      <c r="A953" s="125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</row>
    <row r="954">
      <c r="A954" s="125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</row>
    <row r="955">
      <c r="A955" s="125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</row>
    <row r="956">
      <c r="A956" s="125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</row>
    <row r="957">
      <c r="A957" s="125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</row>
    <row r="958">
      <c r="A958" s="125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</row>
    <row r="959">
      <c r="A959" s="125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</row>
    <row r="960">
      <c r="A960" s="125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</row>
    <row r="961">
      <c r="A961" s="125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</row>
    <row r="962">
      <c r="A962" s="125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</row>
    <row r="963">
      <c r="A963" s="125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</row>
    <row r="964">
      <c r="A964" s="125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</row>
    <row r="965">
      <c r="A965" s="125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</row>
    <row r="966">
      <c r="A966" s="125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</row>
    <row r="967">
      <c r="A967" s="125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</row>
    <row r="968">
      <c r="A968" s="125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</row>
    <row r="969">
      <c r="A969" s="125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</row>
    <row r="970">
      <c r="A970" s="125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</row>
    <row r="971">
      <c r="A971" s="125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</row>
    <row r="972">
      <c r="A972" s="125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</row>
    <row r="973">
      <c r="A973" s="125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</row>
    <row r="974">
      <c r="A974" s="125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</row>
    <row r="975">
      <c r="A975" s="125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</row>
    <row r="976">
      <c r="A976" s="125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</row>
    <row r="977">
      <c r="A977" s="125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</row>
    <row r="978">
      <c r="A978" s="125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</row>
    <row r="979">
      <c r="A979" s="125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</row>
    <row r="980">
      <c r="A980" s="125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</row>
    <row r="981">
      <c r="A981" s="125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</row>
    <row r="982">
      <c r="A982" s="125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</row>
    <row r="983">
      <c r="A983" s="125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</row>
    <row r="984">
      <c r="A984" s="125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</row>
    <row r="985">
      <c r="A985" s="125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</row>
    <row r="986">
      <c r="A986" s="125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</row>
    <row r="987">
      <c r="A987" s="125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</row>
    <row r="988">
      <c r="A988" s="125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</row>
    <row r="989">
      <c r="A989" s="125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</row>
  </sheetData>
  <mergeCells count="5">
    <mergeCell ref="C2:J2"/>
    <mergeCell ref="C3:J3"/>
    <mergeCell ref="C4:J4"/>
    <mergeCell ref="H5:J5"/>
    <mergeCell ref="H6:J6"/>
  </mergeCells>
  <dataValidations>
    <dataValidation type="list" allowBlank="1" showInputMessage="1" showErrorMessage="1" prompt=" - " sqref="H1 H7:H8">
      <formula1>$L$2:$L$6</formula1>
    </dataValidation>
    <dataValidation type="list" allowBlank="1" showInputMessage="1" showErrorMessage="1" prompt=" - " sqref="J11 J13:J17 J19">
      <formula1>"Low,Medium,High"</formula1>
    </dataValidation>
    <dataValidation type="list" allowBlank="1" showInputMessage="1" showErrorMessage="1" prompt=" - " sqref="H11 H13:H17 H19">
      <formula1>"Passed,Failed,Untested,Blocked,Skipped"</formula1>
    </dataValidation>
    <dataValidation type="list" allowBlank="1" showInputMessage="1" showErrorMessage="1" prompt=" - " sqref="G8:G9">
      <formula1>$J$2:$J$6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53.88"/>
    <col customWidth="1" min="4" max="4" width="25.88"/>
    <col customWidth="1" min="5" max="5" width="21.75"/>
    <col customWidth="1" min="6" max="6" width="20.5"/>
    <col customWidth="1" min="7" max="7" width="18.0"/>
    <col customWidth="1" min="11" max="11" width="20.75"/>
  </cols>
  <sheetData>
    <row r="1">
      <c r="A1" s="7"/>
      <c r="B1" s="126"/>
      <c r="C1" s="127"/>
      <c r="D1" s="127"/>
      <c r="E1" s="127"/>
      <c r="F1" s="126"/>
      <c r="G1" s="126"/>
      <c r="H1" s="12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128" t="s">
        <v>96</v>
      </c>
      <c r="C2" s="129" t="s">
        <v>46</v>
      </c>
      <c r="D2" s="4"/>
      <c r="E2" s="4"/>
      <c r="F2" s="4"/>
      <c r="G2" s="4"/>
      <c r="H2" s="4"/>
      <c r="I2" s="4"/>
      <c r="J2" s="5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130" t="s">
        <v>97</v>
      </c>
      <c r="C3" s="129" t="s">
        <v>98</v>
      </c>
      <c r="D3" s="4"/>
      <c r="E3" s="4"/>
      <c r="F3" s="4"/>
      <c r="G3" s="4"/>
      <c r="H3" s="4"/>
      <c r="I3" s="4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128" t="s">
        <v>99</v>
      </c>
      <c r="C4" s="129" t="s">
        <v>100</v>
      </c>
      <c r="D4" s="4"/>
      <c r="E4" s="4"/>
      <c r="F4" s="4"/>
      <c r="G4" s="4"/>
      <c r="H4" s="4"/>
      <c r="I4" s="4"/>
      <c r="J4" s="5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131" t="s">
        <v>101</v>
      </c>
      <c r="C5" s="132" t="s">
        <v>102</v>
      </c>
      <c r="D5" s="132" t="s">
        <v>103</v>
      </c>
      <c r="E5" s="133" t="s">
        <v>104</v>
      </c>
      <c r="F5" s="134" t="s">
        <v>105</v>
      </c>
      <c r="G5" s="63"/>
      <c r="H5" s="135" t="s">
        <v>106</v>
      </c>
      <c r="I5" s="4"/>
      <c r="J5" s="5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136">
        <v>5.0</v>
      </c>
      <c r="C6" s="56">
        <v>2.0</v>
      </c>
      <c r="D6" s="137">
        <v>0.0</v>
      </c>
      <c r="E6" s="138">
        <f>COUNTIF(H$9:H$965,"Blocked")</f>
        <v>0</v>
      </c>
      <c r="F6" s="139">
        <f>COUNTIF(H$9:H$965,"Skipped")</f>
        <v>0</v>
      </c>
      <c r="G6" s="63"/>
      <c r="H6" s="140">
        <v>7.0</v>
      </c>
      <c r="I6" s="4"/>
      <c r="J6" s="5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49"/>
      <c r="C7" s="38"/>
      <c r="D7" s="38"/>
      <c r="E7" s="38"/>
      <c r="F7" s="49"/>
      <c r="G7" s="49"/>
      <c r="H7" s="38"/>
      <c r="I7" s="38"/>
      <c r="J7" s="38"/>
      <c r="K7" s="3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1"/>
      <c r="B8" s="66" t="s">
        <v>107</v>
      </c>
      <c r="C8" s="66" t="s">
        <v>108</v>
      </c>
      <c r="D8" s="66" t="s">
        <v>109</v>
      </c>
      <c r="E8" s="26" t="s">
        <v>110</v>
      </c>
      <c r="F8" s="66" t="s">
        <v>111</v>
      </c>
      <c r="G8" s="66" t="s">
        <v>112</v>
      </c>
      <c r="H8" s="66" t="s">
        <v>113</v>
      </c>
      <c r="I8" s="66" t="s">
        <v>114</v>
      </c>
      <c r="J8" s="66" t="s">
        <v>115</v>
      </c>
      <c r="K8" s="66" t="s">
        <v>45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2"/>
      <c r="B9" s="143" t="s">
        <v>116</v>
      </c>
      <c r="C9" s="4"/>
      <c r="D9" s="4"/>
      <c r="E9" s="4"/>
      <c r="F9" s="4"/>
      <c r="G9" s="4"/>
      <c r="H9" s="4"/>
      <c r="I9" s="4"/>
      <c r="J9" s="4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2"/>
      <c r="B10" s="144" t="s">
        <v>117</v>
      </c>
      <c r="C10" s="4"/>
      <c r="D10" s="4"/>
      <c r="E10" s="4"/>
      <c r="F10" s="4"/>
      <c r="G10" s="4"/>
      <c r="H10" s="4"/>
      <c r="I10" s="4"/>
      <c r="J10" s="4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2"/>
      <c r="B11" s="145"/>
      <c r="C11" s="74" t="s">
        <v>153</v>
      </c>
      <c r="D11" s="75"/>
      <c r="E11" s="76"/>
      <c r="F11" s="77"/>
      <c r="G11" s="77"/>
      <c r="H11" s="75"/>
      <c r="I11" s="77"/>
      <c r="J11" s="77"/>
      <c r="K11" s="7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6"/>
      <c r="B12" s="147" t="s">
        <v>154</v>
      </c>
      <c r="C12" s="148" t="s">
        <v>155</v>
      </c>
      <c r="D12" s="149" t="s">
        <v>156</v>
      </c>
      <c r="E12" s="150" t="s">
        <v>121</v>
      </c>
      <c r="F12" s="149" t="s">
        <v>122</v>
      </c>
      <c r="G12" s="148" t="s">
        <v>157</v>
      </c>
      <c r="H12" s="63" t="s">
        <v>101</v>
      </c>
      <c r="I12" s="151">
        <v>45975.0</v>
      </c>
      <c r="J12" s="63" t="s">
        <v>123</v>
      </c>
      <c r="K12" s="6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2"/>
      <c r="B13" s="147" t="s">
        <v>158</v>
      </c>
      <c r="C13" s="148" t="s">
        <v>126</v>
      </c>
      <c r="D13" s="149" t="s">
        <v>159</v>
      </c>
      <c r="E13" s="150" t="s">
        <v>128</v>
      </c>
      <c r="F13" s="149" t="s">
        <v>129</v>
      </c>
      <c r="G13" s="148" t="s">
        <v>157</v>
      </c>
      <c r="H13" s="63" t="s">
        <v>101</v>
      </c>
      <c r="I13" s="151">
        <v>45975.0</v>
      </c>
      <c r="J13" s="148" t="s">
        <v>130</v>
      </c>
      <c r="K13" s="15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2"/>
      <c r="B14" s="147" t="s">
        <v>160</v>
      </c>
      <c r="C14" s="148" t="s">
        <v>132</v>
      </c>
      <c r="D14" s="149" t="s">
        <v>159</v>
      </c>
      <c r="E14" s="150" t="s">
        <v>161</v>
      </c>
      <c r="F14" s="149" t="s">
        <v>134</v>
      </c>
      <c r="G14" s="148" t="s">
        <v>157</v>
      </c>
      <c r="H14" s="63" t="s">
        <v>101</v>
      </c>
      <c r="I14" s="151">
        <v>45975.0</v>
      </c>
      <c r="J14" s="63" t="s">
        <v>123</v>
      </c>
      <c r="K14" s="15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42"/>
      <c r="B15" s="144" t="s">
        <v>124</v>
      </c>
      <c r="C15" s="4"/>
      <c r="D15" s="4"/>
      <c r="E15" s="4"/>
      <c r="F15" s="4"/>
      <c r="G15" s="4"/>
      <c r="H15" s="4"/>
      <c r="I15" s="4"/>
      <c r="J15" s="4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2"/>
      <c r="B16" s="153" t="s">
        <v>162</v>
      </c>
      <c r="C16" s="74" t="s">
        <v>163</v>
      </c>
      <c r="D16" s="75"/>
      <c r="E16" s="76"/>
      <c r="F16" s="77"/>
      <c r="G16" s="77"/>
      <c r="H16" s="75"/>
      <c r="I16" s="77"/>
      <c r="J16" s="77"/>
      <c r="K16" s="7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2"/>
      <c r="B17" s="18"/>
      <c r="C17" s="148" t="s">
        <v>136</v>
      </c>
      <c r="D17" s="154" t="s">
        <v>159</v>
      </c>
      <c r="E17" s="150" t="s">
        <v>142</v>
      </c>
      <c r="F17" s="149" t="s">
        <v>164</v>
      </c>
      <c r="G17" s="148" t="s">
        <v>157</v>
      </c>
      <c r="H17" s="148" t="s">
        <v>102</v>
      </c>
      <c r="I17" s="151">
        <v>45975.0</v>
      </c>
      <c r="J17" s="148" t="s">
        <v>130</v>
      </c>
      <c r="K17" s="155" t="s">
        <v>139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42"/>
      <c r="B18" s="148" t="s">
        <v>165</v>
      </c>
      <c r="C18" s="148" t="s">
        <v>141</v>
      </c>
      <c r="D18" s="154" t="s">
        <v>159</v>
      </c>
      <c r="E18" s="150" t="s">
        <v>166</v>
      </c>
      <c r="F18" s="149" t="s">
        <v>143</v>
      </c>
      <c r="G18" s="148" t="s">
        <v>157</v>
      </c>
      <c r="H18" s="148" t="s">
        <v>102</v>
      </c>
      <c r="I18" s="151">
        <v>45975.0</v>
      </c>
      <c r="J18" s="148" t="s">
        <v>144</v>
      </c>
      <c r="K18" s="155" t="s">
        <v>145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2"/>
      <c r="B19" s="153" t="s">
        <v>167</v>
      </c>
      <c r="C19" s="74" t="s">
        <v>153</v>
      </c>
      <c r="D19" s="75"/>
      <c r="E19" s="76"/>
      <c r="F19" s="77"/>
      <c r="G19" s="77"/>
      <c r="H19" s="75"/>
      <c r="I19" s="77"/>
      <c r="J19" s="77"/>
      <c r="K19" s="7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42"/>
      <c r="B20" s="18"/>
      <c r="C20" s="148" t="s">
        <v>147</v>
      </c>
      <c r="D20" s="154" t="s">
        <v>159</v>
      </c>
      <c r="E20" s="150" t="s">
        <v>148</v>
      </c>
      <c r="F20" s="149" t="s">
        <v>134</v>
      </c>
      <c r="G20" s="148" t="s">
        <v>157</v>
      </c>
      <c r="H20" s="148" t="s">
        <v>101</v>
      </c>
      <c r="I20" s="151">
        <v>45975.0</v>
      </c>
      <c r="J20" s="63" t="s">
        <v>123</v>
      </c>
      <c r="K20" s="152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2"/>
      <c r="B21" s="144" t="s">
        <v>117</v>
      </c>
      <c r="C21" s="4"/>
      <c r="D21" s="4"/>
      <c r="E21" s="4"/>
      <c r="F21" s="4"/>
      <c r="G21" s="4"/>
      <c r="H21" s="4"/>
      <c r="I21" s="4"/>
      <c r="J21" s="4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46"/>
      <c r="B22" s="156" t="s">
        <v>168</v>
      </c>
      <c r="C22" s="148" t="s">
        <v>169</v>
      </c>
      <c r="D22" s="149" t="s">
        <v>159</v>
      </c>
      <c r="E22" s="150" t="s">
        <v>151</v>
      </c>
      <c r="F22" s="149" t="s">
        <v>152</v>
      </c>
      <c r="G22" s="148" t="s">
        <v>157</v>
      </c>
      <c r="H22" s="63" t="s">
        <v>101</v>
      </c>
      <c r="I22" s="151">
        <v>45975.0</v>
      </c>
      <c r="J22" s="63" t="s">
        <v>123</v>
      </c>
      <c r="K22" s="6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</sheetData>
  <mergeCells count="11">
    <mergeCell ref="B19:B20"/>
    <mergeCell ref="B16:B17"/>
    <mergeCell ref="B15:K15"/>
    <mergeCell ref="C2:J2"/>
    <mergeCell ref="C3:J3"/>
    <mergeCell ref="C4:J4"/>
    <mergeCell ref="H5:J5"/>
    <mergeCell ref="H6:J6"/>
    <mergeCell ref="B10:K10"/>
    <mergeCell ref="B9:K9"/>
    <mergeCell ref="B21:K21"/>
  </mergeCells>
  <dataValidations>
    <dataValidation type="list" allowBlank="1" showInputMessage="1" showErrorMessage="1" prompt=" - " sqref="H1 H7:H8">
      <formula1>$L$2:$L$6</formula1>
    </dataValidation>
    <dataValidation type="list" allowBlank="1" showInputMessage="1" showErrorMessage="1" prompt=" - " sqref="J12:J14 J17:J18 J20 J22">
      <formula1>"Low,Medium,High"</formula1>
    </dataValidation>
    <dataValidation type="list" allowBlank="1" showInputMessage="1" showErrorMessage="1" prompt=" - " sqref="H12:H14 H17:H18 H20 H22">
      <formula1>"Passed,Failed,Untested,Blocked,Skipped"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58.0"/>
    <col customWidth="1" min="4" max="4" width="50.88"/>
    <col customWidth="1" min="5" max="5" width="56.88"/>
    <col customWidth="1" min="6" max="6" width="20.5"/>
    <col customWidth="1" min="7" max="7" width="18.0"/>
    <col customWidth="1" min="11" max="11" width="47.5"/>
  </cols>
  <sheetData>
    <row r="1">
      <c r="A1" s="7"/>
      <c r="B1" s="126"/>
      <c r="C1" s="127"/>
      <c r="D1" s="127"/>
      <c r="E1" s="127"/>
      <c r="F1" s="126"/>
      <c r="G1" s="126"/>
      <c r="H1" s="127"/>
      <c r="I1" s="7"/>
      <c r="J1" s="7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128" t="s">
        <v>96</v>
      </c>
      <c r="C2" s="129" t="s">
        <v>78</v>
      </c>
      <c r="D2" s="4"/>
      <c r="E2" s="4"/>
      <c r="F2" s="4"/>
      <c r="G2" s="4"/>
      <c r="H2" s="4"/>
      <c r="I2" s="4"/>
      <c r="J2" s="5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130" t="s">
        <v>97</v>
      </c>
      <c r="C3" s="129" t="s">
        <v>170</v>
      </c>
      <c r="D3" s="4"/>
      <c r="E3" s="4"/>
      <c r="F3" s="4"/>
      <c r="G3" s="4"/>
      <c r="H3" s="4"/>
      <c r="I3" s="4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128" t="s">
        <v>99</v>
      </c>
      <c r="C4" s="129" t="s">
        <v>100</v>
      </c>
      <c r="D4" s="4"/>
      <c r="E4" s="4"/>
      <c r="F4" s="4"/>
      <c r="G4" s="4"/>
      <c r="H4" s="4"/>
      <c r="I4" s="4"/>
      <c r="J4" s="5"/>
      <c r="K4" s="7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131" t="s">
        <v>101</v>
      </c>
      <c r="C5" s="132" t="s">
        <v>102</v>
      </c>
      <c r="D5" s="132" t="s">
        <v>103</v>
      </c>
      <c r="E5" s="133" t="s">
        <v>104</v>
      </c>
      <c r="F5" s="134" t="s">
        <v>105</v>
      </c>
      <c r="G5" s="63"/>
      <c r="H5" s="135" t="s">
        <v>106</v>
      </c>
      <c r="I5" s="4"/>
      <c r="J5" s="5"/>
      <c r="K5" s="7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136">
        <v>4.0</v>
      </c>
      <c r="C6" s="56">
        <v>2.0</v>
      </c>
      <c r="D6" s="137">
        <v>0.0</v>
      </c>
      <c r="E6" s="138">
        <f>COUNTIF(H$9:H$964,"Blocked")</f>
        <v>0</v>
      </c>
      <c r="F6" s="139">
        <f>COUNTIF(H$9:H$964,"Skipped")</f>
        <v>0</v>
      </c>
      <c r="G6" s="63"/>
      <c r="H6" s="140">
        <v>6.0</v>
      </c>
      <c r="I6" s="4"/>
      <c r="J6" s="5"/>
      <c r="K6" s="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49"/>
      <c r="C7" s="38"/>
      <c r="D7" s="38"/>
      <c r="E7" s="38"/>
      <c r="F7" s="49"/>
      <c r="G7" s="49"/>
      <c r="H7" s="38"/>
      <c r="I7" s="38"/>
      <c r="J7" s="38"/>
      <c r="K7" s="3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1"/>
      <c r="B8" s="66" t="s">
        <v>107</v>
      </c>
      <c r="C8" s="66" t="s">
        <v>108</v>
      </c>
      <c r="D8" s="66" t="s">
        <v>109</v>
      </c>
      <c r="E8" s="26" t="s">
        <v>110</v>
      </c>
      <c r="F8" s="66" t="s">
        <v>111</v>
      </c>
      <c r="G8" s="66" t="s">
        <v>112</v>
      </c>
      <c r="H8" s="66" t="s">
        <v>113</v>
      </c>
      <c r="I8" s="66" t="s">
        <v>114</v>
      </c>
      <c r="J8" s="66" t="s">
        <v>115</v>
      </c>
      <c r="K8" s="66" t="s">
        <v>45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2"/>
      <c r="B9" s="143" t="s">
        <v>171</v>
      </c>
      <c r="C9" s="4"/>
      <c r="D9" s="4"/>
      <c r="E9" s="4"/>
      <c r="F9" s="4"/>
      <c r="G9" s="4"/>
      <c r="H9" s="4"/>
      <c r="I9" s="4"/>
      <c r="J9" s="4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42"/>
      <c r="B10" s="144" t="s">
        <v>124</v>
      </c>
      <c r="C10" s="4"/>
      <c r="D10" s="4"/>
      <c r="E10" s="4"/>
      <c r="F10" s="4"/>
      <c r="G10" s="4"/>
      <c r="H10" s="4"/>
      <c r="I10" s="4"/>
      <c r="J10" s="4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2"/>
      <c r="B11" s="145"/>
      <c r="C11" s="74" t="s">
        <v>163</v>
      </c>
      <c r="D11" s="75"/>
      <c r="E11" s="76"/>
      <c r="F11" s="77"/>
      <c r="G11" s="77"/>
      <c r="H11" s="75"/>
      <c r="I11" s="77"/>
      <c r="J11" s="77"/>
      <c r="K11" s="7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46"/>
      <c r="B12" s="157" t="s">
        <v>172</v>
      </c>
      <c r="C12" s="148" t="s">
        <v>173</v>
      </c>
      <c r="D12" s="149" t="s">
        <v>174</v>
      </c>
      <c r="E12" s="150" t="s">
        <v>175</v>
      </c>
      <c r="F12" s="149" t="s">
        <v>176</v>
      </c>
      <c r="G12" s="148"/>
      <c r="H12" s="148" t="s">
        <v>102</v>
      </c>
      <c r="I12" s="151">
        <v>45975.0</v>
      </c>
      <c r="J12" s="148" t="s">
        <v>144</v>
      </c>
      <c r="K12" s="158" t="s">
        <v>177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42"/>
      <c r="B13" s="159"/>
      <c r="C13" s="74" t="s">
        <v>153</v>
      </c>
      <c r="D13" s="75"/>
      <c r="E13" s="76"/>
      <c r="F13" s="77"/>
      <c r="G13" s="77"/>
      <c r="H13" s="75"/>
      <c r="I13" s="77"/>
      <c r="J13" s="77"/>
      <c r="K13" s="7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42"/>
      <c r="B14" s="157" t="s">
        <v>178</v>
      </c>
      <c r="C14" s="148" t="s">
        <v>179</v>
      </c>
      <c r="D14" s="158" t="s">
        <v>180</v>
      </c>
      <c r="E14" s="158" t="s">
        <v>181</v>
      </c>
      <c r="F14" s="149" t="s">
        <v>182</v>
      </c>
      <c r="G14" s="148"/>
      <c r="H14" s="63" t="s">
        <v>101</v>
      </c>
      <c r="I14" s="151">
        <v>45975.0</v>
      </c>
      <c r="J14" s="148" t="s">
        <v>130</v>
      </c>
      <c r="K14" s="15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7.75" customHeight="1">
      <c r="A15" s="142"/>
      <c r="B15" s="157" t="s">
        <v>183</v>
      </c>
      <c r="C15" s="148" t="s">
        <v>184</v>
      </c>
      <c r="D15" s="149" t="s">
        <v>174</v>
      </c>
      <c r="E15" s="158" t="s">
        <v>185</v>
      </c>
      <c r="F15" s="149" t="s">
        <v>186</v>
      </c>
      <c r="G15" s="148"/>
      <c r="H15" s="63" t="s">
        <v>101</v>
      </c>
      <c r="I15" s="151">
        <v>45975.0</v>
      </c>
      <c r="J15" s="63" t="s">
        <v>123</v>
      </c>
      <c r="K15" s="15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2"/>
      <c r="B16" s="159"/>
      <c r="C16" s="74" t="s">
        <v>153</v>
      </c>
      <c r="D16" s="75"/>
      <c r="E16" s="76"/>
      <c r="F16" s="77"/>
      <c r="G16" s="77"/>
      <c r="H16" s="75"/>
      <c r="I16" s="77"/>
      <c r="J16" s="77"/>
      <c r="K16" s="7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42"/>
      <c r="B17" s="148" t="s">
        <v>187</v>
      </c>
      <c r="C17" s="158" t="s">
        <v>188</v>
      </c>
      <c r="D17" s="158" t="s">
        <v>189</v>
      </c>
      <c r="E17" s="158" t="s">
        <v>190</v>
      </c>
      <c r="F17" s="149" t="s">
        <v>191</v>
      </c>
      <c r="G17" s="148"/>
      <c r="H17" s="148" t="s">
        <v>101</v>
      </c>
      <c r="I17" s="151">
        <v>45975.0</v>
      </c>
      <c r="J17" s="148" t="s">
        <v>130</v>
      </c>
      <c r="K17" s="15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8.5" customHeight="1">
      <c r="A18" s="142"/>
      <c r="B18" s="148" t="s">
        <v>192</v>
      </c>
      <c r="C18" s="158" t="s">
        <v>193</v>
      </c>
      <c r="D18" s="154" t="s">
        <v>194</v>
      </c>
      <c r="E18" s="158" t="s">
        <v>195</v>
      </c>
      <c r="F18" s="149" t="s">
        <v>196</v>
      </c>
      <c r="G18" s="148"/>
      <c r="H18" s="148" t="s">
        <v>101</v>
      </c>
      <c r="I18" s="151">
        <v>45975.0</v>
      </c>
      <c r="J18" s="148" t="s">
        <v>123</v>
      </c>
      <c r="K18" s="15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2"/>
      <c r="B19" s="159"/>
      <c r="C19" s="74" t="s">
        <v>163</v>
      </c>
      <c r="D19" s="75"/>
      <c r="E19" s="76"/>
      <c r="F19" s="77"/>
      <c r="G19" s="77"/>
      <c r="H19" s="75"/>
      <c r="I19" s="77"/>
      <c r="J19" s="77"/>
      <c r="K19" s="7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2.25" customHeight="1">
      <c r="A20" s="142"/>
      <c r="B20" s="148" t="s">
        <v>197</v>
      </c>
      <c r="C20" s="158" t="s">
        <v>198</v>
      </c>
      <c r="D20" s="154" t="s">
        <v>174</v>
      </c>
      <c r="E20" s="150" t="s">
        <v>199</v>
      </c>
      <c r="F20" s="149" t="s">
        <v>200</v>
      </c>
      <c r="G20" s="148"/>
      <c r="H20" s="148" t="s">
        <v>102</v>
      </c>
      <c r="I20" s="151">
        <v>45975.0</v>
      </c>
      <c r="J20" s="148" t="s">
        <v>130</v>
      </c>
      <c r="K20" s="155" t="s">
        <v>201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42"/>
      <c r="B21" s="144"/>
      <c r="C21" s="4"/>
      <c r="D21" s="4"/>
      <c r="E21" s="4"/>
      <c r="F21" s="4"/>
      <c r="G21" s="4"/>
      <c r="H21" s="4"/>
      <c r="I21" s="4"/>
      <c r="J21" s="4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8">
    <mergeCell ref="C2:J2"/>
    <mergeCell ref="C3:J3"/>
    <mergeCell ref="C4:J4"/>
    <mergeCell ref="H5:J5"/>
    <mergeCell ref="H6:J6"/>
    <mergeCell ref="B9:K9"/>
    <mergeCell ref="B10:K10"/>
    <mergeCell ref="B21:K21"/>
  </mergeCells>
  <dataValidations>
    <dataValidation type="list" allowBlank="1" showInputMessage="1" showErrorMessage="1" prompt=" - " sqref="H1 H7:H8">
      <formula1>$L$2:$L$6</formula1>
    </dataValidation>
    <dataValidation type="list" allowBlank="1" showInputMessage="1" showErrorMessage="1" prompt=" - " sqref="J12 J14:J15 J17:J18 J20">
      <formula1>"Low,Medium,High"</formula1>
    </dataValidation>
    <dataValidation type="list" allowBlank="1" showInputMessage="1" showErrorMessage="1" prompt=" - " sqref="H12 H14:H15 H17:H18 H20">
      <formula1>"Passed,Failed,Untested,Blocked,Skipped"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8" max="8" width="19.38"/>
  </cols>
  <sheetData>
    <row r="1">
      <c r="A1" s="7"/>
      <c r="B1" s="160" t="s">
        <v>202</v>
      </c>
      <c r="C1" s="161"/>
      <c r="D1" s="161"/>
      <c r="E1" s="161"/>
      <c r="F1" s="161"/>
      <c r="G1" s="161"/>
      <c r="H1" s="162"/>
      <c r="I1" s="7"/>
      <c r="J1" s="7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38"/>
      <c r="D2" s="38"/>
      <c r="E2" s="38"/>
      <c r="F2" s="38"/>
      <c r="G2" s="7"/>
      <c r="H2" s="163"/>
      <c r="I2" s="7"/>
      <c r="J2" s="7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164" t="s">
        <v>1</v>
      </c>
      <c r="C3" s="44" t="s">
        <v>203</v>
      </c>
      <c r="D3" s="5"/>
      <c r="E3" s="165" t="s">
        <v>3</v>
      </c>
      <c r="F3" s="5"/>
      <c r="G3" s="152"/>
      <c r="H3" s="157" t="s">
        <v>100</v>
      </c>
      <c r="I3" s="7"/>
      <c r="J3" s="7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/>
      <c r="B4" s="164" t="s">
        <v>5</v>
      </c>
      <c r="C4" s="44" t="s">
        <v>24</v>
      </c>
      <c r="D4" s="5"/>
      <c r="E4" s="165" t="s">
        <v>7</v>
      </c>
      <c r="F4" s="5"/>
      <c r="G4" s="166"/>
      <c r="H4" s="167" t="s">
        <v>8</v>
      </c>
      <c r="I4" s="7"/>
      <c r="J4" s="7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/>
      <c r="B5" s="164" t="s">
        <v>9</v>
      </c>
      <c r="C5" s="44" t="s">
        <v>204</v>
      </c>
      <c r="D5" s="5"/>
      <c r="E5" s="165" t="s">
        <v>11</v>
      </c>
      <c r="F5" s="5"/>
      <c r="G5" s="168"/>
      <c r="H5" s="169">
        <v>45975.0</v>
      </c>
      <c r="I5" s="7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/>
      <c r="B6" s="164" t="s">
        <v>205</v>
      </c>
      <c r="C6" s="170" t="s">
        <v>206</v>
      </c>
      <c r="D6" s="4"/>
      <c r="E6" s="4"/>
      <c r="F6" s="4"/>
      <c r="G6" s="4"/>
      <c r="H6" s="5"/>
      <c r="I6" s="43"/>
      <c r="J6" s="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7"/>
      <c r="C7" s="23"/>
      <c r="D7" s="23"/>
      <c r="E7" s="23"/>
      <c r="F7" s="23"/>
      <c r="G7" s="23"/>
      <c r="H7" s="171"/>
      <c r="I7" s="7"/>
      <c r="J7" s="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/>
      <c r="B8" s="38"/>
      <c r="C8" s="38"/>
      <c r="D8" s="38"/>
      <c r="E8" s="38"/>
      <c r="F8" s="38"/>
      <c r="G8" s="38"/>
      <c r="H8" s="172"/>
      <c r="I8" s="38"/>
      <c r="J8" s="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9"/>
      <c r="B9" s="173" t="s">
        <v>27</v>
      </c>
      <c r="C9" s="173" t="s">
        <v>207</v>
      </c>
      <c r="D9" s="174" t="s">
        <v>208</v>
      </c>
      <c r="E9" s="173" t="s">
        <v>209</v>
      </c>
      <c r="F9" s="173" t="s">
        <v>103</v>
      </c>
      <c r="G9" s="173" t="s">
        <v>104</v>
      </c>
      <c r="H9" s="174" t="s">
        <v>105</v>
      </c>
      <c r="I9" s="174" t="s">
        <v>210</v>
      </c>
      <c r="J9" s="4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9"/>
      <c r="B10" s="175">
        <v>1.0</v>
      </c>
      <c r="C10" s="155" t="s">
        <v>46</v>
      </c>
      <c r="D10" s="176">
        <v>5.0</v>
      </c>
      <c r="E10" s="176">
        <v>2.0</v>
      </c>
      <c r="F10" s="176">
        <v>0.0</v>
      </c>
      <c r="G10" s="176">
        <v>0.0</v>
      </c>
      <c r="H10" s="176">
        <v>0.0</v>
      </c>
      <c r="I10" s="176">
        <v>7.0</v>
      </c>
      <c r="J10" s="4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9"/>
      <c r="B11" s="176">
        <v>2.0</v>
      </c>
      <c r="C11" s="155" t="s">
        <v>78</v>
      </c>
      <c r="D11" s="176">
        <v>4.0</v>
      </c>
      <c r="E11" s="176">
        <v>2.0</v>
      </c>
      <c r="F11" s="176">
        <v>0.0</v>
      </c>
      <c r="G11" s="176">
        <v>0.0</v>
      </c>
      <c r="H11" s="176">
        <v>0.0</v>
      </c>
      <c r="I11" s="176">
        <v>6.0</v>
      </c>
      <c r="J11" s="43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9"/>
      <c r="B12" s="152"/>
      <c r="C12" s="152"/>
      <c r="D12" s="152"/>
      <c r="E12" s="152"/>
      <c r="F12" s="152"/>
      <c r="G12" s="152"/>
      <c r="H12" s="152"/>
      <c r="I12" s="152"/>
      <c r="J12" s="43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9"/>
      <c r="B13" s="177"/>
      <c r="C13" s="178" t="s">
        <v>211</v>
      </c>
      <c r="D13" s="179">
        <f t="shared" ref="D13:G13" si="1">SUM(D8:D12)</f>
        <v>9</v>
      </c>
      <c r="E13" s="179">
        <f t="shared" si="1"/>
        <v>4</v>
      </c>
      <c r="F13" s="179">
        <f t="shared" si="1"/>
        <v>0</v>
      </c>
      <c r="G13" s="179">
        <f t="shared" si="1"/>
        <v>0</v>
      </c>
      <c r="H13" s="180">
        <v>45975.0</v>
      </c>
      <c r="I13" s="179">
        <f>SUM(I8:I12)</f>
        <v>13</v>
      </c>
      <c r="J13" s="43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23"/>
      <c r="C14" s="23"/>
      <c r="D14" s="181"/>
      <c r="E14" s="182"/>
      <c r="F14" s="182"/>
      <c r="G14" s="182"/>
      <c r="H14" s="182"/>
      <c r="I14" s="23"/>
      <c r="J14" s="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7"/>
      <c r="C15" s="183" t="s">
        <v>212</v>
      </c>
      <c r="D15" s="7"/>
      <c r="E15" s="184">
        <v>1.0</v>
      </c>
      <c r="F15" s="7" t="s">
        <v>213</v>
      </c>
      <c r="G15" s="7"/>
      <c r="H15" s="7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7"/>
      <c r="C16" s="183" t="s">
        <v>214</v>
      </c>
      <c r="D16" s="7"/>
      <c r="E16" s="185">
        <f>D13*100/(D13+E13)</f>
        <v>69.23076923</v>
      </c>
      <c r="F16" s="7" t="s">
        <v>213</v>
      </c>
      <c r="G16" s="7"/>
      <c r="H16" s="7"/>
      <c r="I16" s="7"/>
      <c r="J16" s="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drawing r:id="rId1"/>
</worksheet>
</file>